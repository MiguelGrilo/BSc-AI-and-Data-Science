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iguel\Desktop\"/>
    </mc:Choice>
  </mc:AlternateContent>
  <xr:revisionPtr revIDLastSave="0" documentId="8_{977953B7-79E5-4D4E-9124-CC6E4E71748E}" xr6:coauthVersionLast="47" xr6:coauthVersionMax="47" xr10:uidLastSave="{00000000-0000-0000-0000-000000000000}"/>
  <bookViews>
    <workbookView xWindow="-108" yWindow="-108" windowWidth="23256" windowHeight="13176" xr2:uid="{A6914969-E71B-44D8-92F3-257F8E7A37E9}"/>
  </bookViews>
  <sheets>
    <sheet name="Dados" sheetId="1" r:id="rId1"/>
    <sheet name="Variáveis e Restrições" sheetId="3" r:id="rId2"/>
    <sheet name="Modelo" sheetId="2" r:id="rId3"/>
    <sheet name="Relatório de Resposta" sheetId="7" r:id="rId4"/>
    <sheet name="Relatório de Sensibilidade" sheetId="8" r:id="rId5"/>
    <sheet name="Relatório de Limites" sheetId="9" r:id="rId6"/>
  </sheets>
  <definedNames>
    <definedName name="solver_adj" localSheetId="2" hidden="1">Modelo!$B$3:$AG$3</definedName>
    <definedName name="solver_cvg" localSheetId="2" hidden="1">0.0001</definedName>
    <definedName name="solver_drv" localSheetId="2" hidden="1">2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Modelo!$AH$10</definedName>
    <definedName name="solver_lhs10" localSheetId="2" hidden="1">Modelo!$AH$19</definedName>
    <definedName name="solver_lhs11" localSheetId="2" hidden="1">Modelo!$AH$20</definedName>
    <definedName name="solver_lhs12" localSheetId="2" hidden="1">Modelo!$AH$21</definedName>
    <definedName name="solver_lhs13" localSheetId="2" hidden="1">Modelo!$AH$22</definedName>
    <definedName name="solver_lhs14" localSheetId="2" hidden="1">Modelo!$AH$23</definedName>
    <definedName name="solver_lhs15" localSheetId="2" hidden="1">Modelo!$AH$24</definedName>
    <definedName name="solver_lhs16" localSheetId="2" hidden="1">Modelo!$AH$25</definedName>
    <definedName name="solver_lhs17" localSheetId="2" hidden="1">Modelo!$AH$26</definedName>
    <definedName name="solver_lhs18" localSheetId="2" hidden="1">Modelo!$AH$27</definedName>
    <definedName name="solver_lhs19" localSheetId="2" hidden="1">Modelo!$AH$4</definedName>
    <definedName name="solver_lhs2" localSheetId="2" hidden="1">Modelo!$AH$11</definedName>
    <definedName name="solver_lhs20" localSheetId="2" hidden="1">Modelo!$AH$5</definedName>
    <definedName name="solver_lhs21" localSheetId="2" hidden="1">Modelo!$AH$6</definedName>
    <definedName name="solver_lhs22" localSheetId="2" hidden="1">Modelo!$AH$7</definedName>
    <definedName name="solver_lhs23" localSheetId="2" hidden="1">Modelo!$AH$8</definedName>
    <definedName name="solver_lhs24" localSheetId="2" hidden="1">Modelo!$AH$9</definedName>
    <definedName name="solver_lhs3" localSheetId="2" hidden="1">Modelo!$AH$12</definedName>
    <definedName name="solver_lhs4" localSheetId="2" hidden="1">Modelo!$AH$13</definedName>
    <definedName name="solver_lhs5" localSheetId="2" hidden="1">Modelo!$AH$14</definedName>
    <definedName name="solver_lhs6" localSheetId="2" hidden="1">Modelo!$AH$15</definedName>
    <definedName name="solver_lhs7" localSheetId="2" hidden="1">Modelo!$AH$16</definedName>
    <definedName name="solver_lhs8" localSheetId="2" hidden="1">Modelo!$AH$17</definedName>
    <definedName name="solver_lhs9" localSheetId="2" hidden="1">Modelo!$AH$18</definedName>
    <definedName name="solver_mip" localSheetId="2" hidden="1">1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24</definedName>
    <definedName name="solver_nwt" localSheetId="2" hidden="1">1</definedName>
    <definedName name="solver_opt" localSheetId="2" hidden="1">Modelo!$AJ$2</definedName>
    <definedName name="solver_pre" localSheetId="2" hidden="1">0.000001</definedName>
    <definedName name="solver_rbv" localSheetId="2" hidden="1">2</definedName>
    <definedName name="solver_rel1" localSheetId="2" hidden="1">1</definedName>
    <definedName name="solver_rel10" localSheetId="2" hidden="1">3</definedName>
    <definedName name="solver_rel11" localSheetId="2" hidden="1">2</definedName>
    <definedName name="solver_rel12" localSheetId="2" hidden="1">3</definedName>
    <definedName name="solver_rel13" localSheetId="2" hidden="1">3</definedName>
    <definedName name="solver_rel14" localSheetId="2" hidden="1">3</definedName>
    <definedName name="solver_rel15" localSheetId="2" hidden="1">2</definedName>
    <definedName name="solver_rel16" localSheetId="2" hidden="1">2</definedName>
    <definedName name="solver_rel17" localSheetId="2" hidden="1">2</definedName>
    <definedName name="solver_rel18" localSheetId="2" hidden="1">2</definedName>
    <definedName name="solver_rel19" localSheetId="2" hidden="1">1</definedName>
    <definedName name="solver_rel2" localSheetId="2" hidden="1">1</definedName>
    <definedName name="solver_rel20" localSheetId="2" hidden="1">1</definedName>
    <definedName name="solver_rel21" localSheetId="2" hidden="1">1</definedName>
    <definedName name="solver_rel22" localSheetId="2" hidden="1">1</definedName>
    <definedName name="solver_rel23" localSheetId="2" hidden="1">1</definedName>
    <definedName name="solver_rel24" localSheetId="2" hidden="1">1</definedName>
    <definedName name="solver_rel3" localSheetId="2" hidden="1">3</definedName>
    <definedName name="solver_rel4" localSheetId="2" hidden="1">3</definedName>
    <definedName name="solver_rel5" localSheetId="2" hidden="1">3</definedName>
    <definedName name="solver_rel6" localSheetId="2" hidden="1">3</definedName>
    <definedName name="solver_rel7" localSheetId="2" hidden="1">3</definedName>
    <definedName name="solver_rel8" localSheetId="2" hidden="1">3</definedName>
    <definedName name="solver_rel9" localSheetId="2" hidden="1">3</definedName>
    <definedName name="solver_rhs1" localSheetId="2" hidden="1">Modelo!$AJ$10</definedName>
    <definedName name="solver_rhs10" localSheetId="2" hidden="1">Modelo!$AJ$19</definedName>
    <definedName name="solver_rhs11" localSheetId="2" hidden="1">Modelo!$AJ$20</definedName>
    <definedName name="solver_rhs12" localSheetId="2" hidden="1">Modelo!$AJ$21</definedName>
    <definedName name="solver_rhs13" localSheetId="2" hidden="1">Modelo!$AJ$22</definedName>
    <definedName name="solver_rhs14" localSheetId="2" hidden="1">Modelo!$AJ$23</definedName>
    <definedName name="solver_rhs15" localSheetId="2" hidden="1">Modelo!$AJ$24</definedName>
    <definedName name="solver_rhs16" localSheetId="2" hidden="1">Modelo!$AJ$25</definedName>
    <definedName name="solver_rhs17" localSheetId="2" hidden="1">Modelo!$AJ$26</definedName>
    <definedName name="solver_rhs18" localSheetId="2" hidden="1">Modelo!$AJ$27</definedName>
    <definedName name="solver_rhs19" localSheetId="2" hidden="1">Modelo!$AJ$4</definedName>
    <definedName name="solver_rhs2" localSheetId="2" hidden="1">Modelo!$AJ$11</definedName>
    <definedName name="solver_rhs20" localSheetId="2" hidden="1">Modelo!$AJ$5</definedName>
    <definedName name="solver_rhs21" localSheetId="2" hidden="1">Modelo!$AJ$6</definedName>
    <definedName name="solver_rhs22" localSheetId="2" hidden="1">Modelo!$AJ$7</definedName>
    <definedName name="solver_rhs23" localSheetId="2" hidden="1">Modelo!$AJ$8</definedName>
    <definedName name="solver_rhs24" localSheetId="2" hidden="1">Modelo!$AJ$9</definedName>
    <definedName name="solver_rhs3" localSheetId="2" hidden="1">Modelo!$AJ$12</definedName>
    <definedName name="solver_rhs4" localSheetId="2" hidden="1">Modelo!$AJ$13</definedName>
    <definedName name="solver_rhs5" localSheetId="2" hidden="1">Modelo!$AJ$14</definedName>
    <definedName name="solver_rhs6" localSheetId="2" hidden="1">Modelo!$AJ$15</definedName>
    <definedName name="solver_rhs7" localSheetId="2" hidden="1">Modelo!$AJ$16</definedName>
    <definedName name="solver_rhs8" localSheetId="2" hidden="1">Modelo!$AJ$17</definedName>
    <definedName name="solver_rhs9" localSheetId="2" hidden="1">Modelo!$AJ$18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ho" localSheetId="5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2" l="1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J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J13" i="2" l="1"/>
  <c r="AJ14" i="2"/>
  <c r="AJ15" i="2"/>
  <c r="AJ16" i="2"/>
  <c r="AJ17" i="2"/>
  <c r="AJ12" i="2"/>
  <c r="AJ5" i="2"/>
  <c r="AJ6" i="2"/>
  <c r="AJ7" i="2"/>
  <c r="AJ8" i="2"/>
  <c r="AJ9" i="2"/>
  <c r="AJ10" i="2"/>
  <c r="AJ11" i="2"/>
  <c r="AJ4" i="2"/>
  <c r="AJ23" i="2"/>
  <c r="AJ22" i="2"/>
  <c r="AJ21" i="2"/>
  <c r="AJ19" i="2"/>
  <c r="AJ18" i="2"/>
  <c r="F30" i="3" l="1"/>
  <c r="F29" i="3"/>
  <c r="F26" i="3"/>
  <c r="L22" i="3"/>
  <c r="L21" i="3"/>
  <c r="L20" i="3"/>
  <c r="L19" i="3"/>
  <c r="L18" i="3"/>
  <c r="L17" i="3"/>
  <c r="H11" i="3"/>
  <c r="H12" i="3"/>
  <c r="H13" i="3"/>
  <c r="H10" i="3"/>
  <c r="H7" i="3"/>
  <c r="H8" i="3"/>
  <c r="H9" i="3"/>
  <c r="H6" i="3"/>
  <c r="B24" i="1"/>
  <c r="E25" i="1"/>
  <c r="E24" i="1"/>
  <c r="E23" i="1"/>
  <c r="E22" i="1"/>
  <c r="B12" i="1"/>
  <c r="B13" i="1"/>
  <c r="B14" i="1"/>
  <c r="B11" i="1"/>
  <c r="B21" i="3"/>
  <c r="B20" i="3"/>
  <c r="B19" i="3"/>
  <c r="B18" i="3"/>
  <c r="B25" i="1"/>
  <c r="B22" i="1"/>
  <c r="C17" i="1" l="1" a="1"/>
  <c r="F5" i="1"/>
  <c r="F6" i="1"/>
  <c r="F7" i="1"/>
  <c r="F4" i="1"/>
  <c r="E5" i="1"/>
  <c r="E6" i="1"/>
  <c r="E7" i="1"/>
  <c r="E4" i="1"/>
  <c r="C1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<sst xmlns="http://schemas.openxmlformats.org/spreadsheetml/2006/main" count="695" uniqueCount="307">
  <si>
    <t>Informações Relativas às Fábricas</t>
  </si>
  <si>
    <t>Fábricas</t>
  </si>
  <si>
    <t>CP (kL)</t>
  </si>
  <si>
    <t>CI (mil€/kL)</t>
  </si>
  <si>
    <t>CPE (kL)</t>
  </si>
  <si>
    <t>CIE (mil€/kL)</t>
  </si>
  <si>
    <t>CP = Capacidade de Produção</t>
  </si>
  <si>
    <t>Nocal</t>
  </si>
  <si>
    <t>CI = Custo Industrial</t>
  </si>
  <si>
    <t>Catumbela</t>
  </si>
  <si>
    <t>CPE = Capacidade de Produção Extraordinária</t>
  </si>
  <si>
    <t>Cobeje</t>
  </si>
  <si>
    <t>CIE = Custo Industrial Extraordinário</t>
  </si>
  <si>
    <t>Nocebo</t>
  </si>
  <si>
    <t>Informações Relativas ao Transporte</t>
  </si>
  <si>
    <t>Armazéns</t>
  </si>
  <si>
    <t>Luanda</t>
  </si>
  <si>
    <t>Cabinda</t>
  </si>
  <si>
    <t>Lobito</t>
  </si>
  <si>
    <t>Huambo</t>
  </si>
  <si>
    <t>Namibe</t>
  </si>
  <si>
    <t>Malange</t>
  </si>
  <si>
    <t>Obs: Valores em mil€/kL</t>
  </si>
  <si>
    <t>Informações Relativas à Distribuição e Venda</t>
  </si>
  <si>
    <t>QP = Quantidade Procurada</t>
  </si>
  <si>
    <t>QP (kL)</t>
  </si>
  <si>
    <t>Outras Informações</t>
  </si>
  <si>
    <t>Fábrica</t>
  </si>
  <si>
    <t>Produzido</t>
  </si>
  <si>
    <t>Armazém</t>
  </si>
  <si>
    <t>Transportado</t>
  </si>
  <si>
    <t>&gt;=</t>
  </si>
  <si>
    <t>=</t>
  </si>
  <si>
    <t>?</t>
  </si>
  <si>
    <t>FO</t>
  </si>
  <si>
    <t>Restrições Relativas às Fábricas</t>
  </si>
  <si>
    <t>LDR = Lado Direito da Restrição</t>
  </si>
  <si>
    <t>Variável</t>
  </si>
  <si>
    <t>Sinal</t>
  </si>
  <si>
    <t>LDR</t>
  </si>
  <si>
    <t>Variáveis Relativas às Fábricas</t>
  </si>
  <si>
    <t>&lt;=</t>
  </si>
  <si>
    <t>Restrições Relativas à Distribuição e Venda</t>
  </si>
  <si>
    <t>Variáveis Relativas ao Transporte</t>
  </si>
  <si>
    <t>Variáveis</t>
  </si>
  <si>
    <t>Restrições Relativas à Produção e aos Transportes</t>
  </si>
  <si>
    <t>Restrições Relativas às Outras Informações</t>
  </si>
  <si>
    <t>LER</t>
  </si>
  <si>
    <t>Coeficiente FO</t>
  </si>
  <si>
    <t>LER = Lado Esquerdo da Restrição</t>
  </si>
  <si>
    <t>Microsoft Excel 16.0 Relatório de Resposta</t>
  </si>
  <si>
    <t>Resultado: O Solver encontrou uma solução. Todas as restrições e condições de otimização foram satisfeitas.</t>
  </si>
  <si>
    <t>Motor do Solver</t>
  </si>
  <si>
    <t>Motor: LP Simplex</t>
  </si>
  <si>
    <t>Iterações: 40 Subproblemas: 0</t>
  </si>
  <si>
    <t>Opções do Solver</t>
  </si>
  <si>
    <t>Tempo Máximo Ilimitado,  Iterações Ilimitado, Precision 0,000001</t>
  </si>
  <si>
    <t>Máximo de Subproblemas Ilimitado, Máximo de Soluções de Número Inteiro 1, Tolerância de Número Inteiro 1%, Assumir NãoNegativo</t>
  </si>
  <si>
    <t>Célula de Objetivo (Mínimo)</t>
  </si>
  <si>
    <t>Célula</t>
  </si>
  <si>
    <t>Nome</t>
  </si>
  <si>
    <t>Valor Original</t>
  </si>
  <si>
    <t>Valor Final</t>
  </si>
  <si>
    <t>Coeficiente FO LDR</t>
  </si>
  <si>
    <t>Células de Variável</t>
  </si>
  <si>
    <t>Número inteiro</t>
  </si>
  <si>
    <t>$B$3</t>
  </si>
  <si>
    <t>Contin</t>
  </si>
  <si>
    <t>$C$3</t>
  </si>
  <si>
    <t>$D$3</t>
  </si>
  <si>
    <t>$E$3</t>
  </si>
  <si>
    <t>$F$3</t>
  </si>
  <si>
    <t>$G$3</t>
  </si>
  <si>
    <t>$H$3</t>
  </si>
  <si>
    <t>$I$3</t>
  </si>
  <si>
    <t>$J$3</t>
  </si>
  <si>
    <t>$K$3</t>
  </si>
  <si>
    <t>$L$3</t>
  </si>
  <si>
    <t>$M$3</t>
  </si>
  <si>
    <t>$N$3</t>
  </si>
  <si>
    <t>$O$3</t>
  </si>
  <si>
    <t>$P$3</t>
  </si>
  <si>
    <t>$Q$3</t>
  </si>
  <si>
    <t>$R$3</t>
  </si>
  <si>
    <t>$S$3</t>
  </si>
  <si>
    <t>$T$3</t>
  </si>
  <si>
    <t>$U$3</t>
  </si>
  <si>
    <t>$V$3</t>
  </si>
  <si>
    <t>$W$3</t>
  </si>
  <si>
    <t>$X$3</t>
  </si>
  <si>
    <t>$Y$3</t>
  </si>
  <si>
    <t>$Z$3</t>
  </si>
  <si>
    <t>$AA$3</t>
  </si>
  <si>
    <t>$AB$3</t>
  </si>
  <si>
    <t>$AC$3</t>
  </si>
  <si>
    <t>$AD$3</t>
  </si>
  <si>
    <t>$AE$3</t>
  </si>
  <si>
    <t>$AF$3</t>
  </si>
  <si>
    <t>$AG$3</t>
  </si>
  <si>
    <t>Restrições</t>
  </si>
  <si>
    <t>Valor da Célula</t>
  </si>
  <si>
    <t>Fórmula</t>
  </si>
  <si>
    <t>Estado</t>
  </si>
  <si>
    <t>Margem</t>
  </si>
  <si>
    <t>s7 LER</t>
  </si>
  <si>
    <t>Sem Enlace</t>
  </si>
  <si>
    <t>s8 LER</t>
  </si>
  <si>
    <t>s9 LER</t>
  </si>
  <si>
    <t>Enlace</t>
  </si>
  <si>
    <t>s10 LER</t>
  </si>
  <si>
    <t>s11 LER</t>
  </si>
  <si>
    <t>s12 LER</t>
  </si>
  <si>
    <t>s13 LER</t>
  </si>
  <si>
    <t>s14 LER</t>
  </si>
  <si>
    <t>s15 LER</t>
  </si>
  <si>
    <t>s16 LER</t>
  </si>
  <si>
    <t>s17 LER</t>
  </si>
  <si>
    <t>s18 LER</t>
  </si>
  <si>
    <t>s19 LER</t>
  </si>
  <si>
    <t>s20 LER</t>
  </si>
  <si>
    <t>s21 LER</t>
  </si>
  <si>
    <t>s22 LER</t>
  </si>
  <si>
    <t>s23 LER</t>
  </si>
  <si>
    <t>s24 LER</t>
  </si>
  <si>
    <t>s1 LER</t>
  </si>
  <si>
    <t>s2 LER</t>
  </si>
  <si>
    <t>s3 LER</t>
  </si>
  <si>
    <t>s4 LER</t>
  </si>
  <si>
    <t>s5 LER</t>
  </si>
  <si>
    <t>s6 LER</t>
  </si>
  <si>
    <t>Microsoft Excel 16.0 Relatório de Sensibilidade</t>
  </si>
  <si>
    <t>Final</t>
  </si>
  <si>
    <t>Reduzido</t>
  </si>
  <si>
    <t>Objetivo</t>
  </si>
  <si>
    <t>Permissível</t>
  </si>
  <si>
    <t>Valor</t>
  </si>
  <si>
    <t>Custo</t>
  </si>
  <si>
    <t>Coeficiente</t>
  </si>
  <si>
    <t>Aumentar</t>
  </si>
  <si>
    <t>Diminuir</t>
  </si>
  <si>
    <t>Sombra</t>
  </si>
  <si>
    <t>Restrição</t>
  </si>
  <si>
    <t>Preço</t>
  </si>
  <si>
    <t>Lado Direito</t>
  </si>
  <si>
    <t>Microsoft Excel 16.0 Relatório de Limites</t>
  </si>
  <si>
    <t>Inferior</t>
  </si>
  <si>
    <t>Superior</t>
  </si>
  <si>
    <t>Limite</t>
  </si>
  <si>
    <t>Resultado</t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</si>
  <si>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1,1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</si>
  <si>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1,2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</si>
  <si>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1,3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</si>
  <si>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1,4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</si>
  <si>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1,5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</si>
  <si>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1,6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</si>
  <si>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2,1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</si>
  <si>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2,2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</si>
  <si>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2,3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</si>
  <si>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2,4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</si>
  <si>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2,5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</si>
  <si>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2,6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</si>
  <si>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3,1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</si>
  <si>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3,2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</si>
  <si>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3,3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</si>
  <si>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3,4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</si>
  <si>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3,5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</si>
  <si>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3,6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</si>
  <si>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4,1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</si>
  <si>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4,2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</si>
  <si>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4,3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</si>
  <si>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4,4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</si>
  <si>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4,5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</si>
  <si>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4,6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</si>
  <si>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</si>
  <si>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2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</si>
  <si>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3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</si>
  <si>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4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</si>
  <si>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5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</si>
  <si>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6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</si>
  <si>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7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</si>
  <si>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8</t>
    </r>
  </si>
  <si>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2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</si>
  <si>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6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</si>
  <si>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5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</si>
  <si>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8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</si>
  <si>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1,1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2,1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3,1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4,1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</si>
  <si>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1,2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2,2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3,2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4,2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</si>
  <si>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1,3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2,3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3,3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4,3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</si>
  <si>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1,4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2,4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3,4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4,4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</si>
  <si>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1,5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2,5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3,5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4,5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</si>
  <si>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1,6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2,6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3,6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4,6</t>
    </r>
  </si>
  <si>
    <r>
      <rPr>
        <b/>
        <sz val="11"/>
        <color rgb="FF000000"/>
        <rFont val="Aptos Narrow"/>
        <family val="2"/>
      </rPr>
      <t>Min(Z)</t>
    </r>
    <r>
      <rPr>
        <sz val="11"/>
        <color rgb="FF000000"/>
        <rFont val="Aptos Narrow"/>
        <family val="2"/>
      </rPr>
      <t xml:space="preserve"> = 42,50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1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+ 45,00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2</t>
    </r>
    <r>
      <rPr>
        <sz val="11"/>
        <color rgb="FF000000"/>
        <rFont val="Aptos Narrow"/>
        <family val="2"/>
      </rPr>
      <t xml:space="preserve"> + 47,50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3</t>
    </r>
    <r>
      <rPr>
        <sz val="11"/>
        <color rgb="FF000000"/>
        <rFont val="Aptos Narrow"/>
        <family val="2"/>
      </rPr>
      <t xml:space="preserve"> + 50,00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4</t>
    </r>
    <r>
      <rPr>
        <sz val="11"/>
        <color rgb="FF000000"/>
        <rFont val="Aptos Narrow"/>
        <family val="2"/>
      </rPr>
      <t xml:space="preserve"> + 46,75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5</t>
    </r>
    <r>
      <rPr>
        <sz val="11"/>
        <color rgb="FF000000"/>
        <rFont val="Aptos Narrow"/>
        <family val="2"/>
      </rPr>
      <t xml:space="preserve"> + 49,50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6</t>
    </r>
    <r>
      <rPr>
        <sz val="11"/>
        <color rgb="FF000000"/>
        <rFont val="Aptos Narrow"/>
        <family val="2"/>
      </rPr>
      <t xml:space="preserve"> + 52,25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7</t>
    </r>
    <r>
      <rPr>
        <sz val="11"/>
        <color rgb="FF000000"/>
        <rFont val="Aptos Narrow"/>
        <family val="2"/>
      </rPr>
      <t xml:space="preserve"> + 55,00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8</t>
    </r>
    <r>
      <rPr>
        <sz val="11"/>
        <color rgb="FF000000"/>
        <rFont val="Aptos Narrow"/>
        <family val="2"/>
      </rPr>
      <t xml:space="preserve"> + 0,10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1,1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+ 0,6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1,2</t>
    </r>
    <r>
      <rPr>
        <sz val="11"/>
        <color rgb="FF000000"/>
        <rFont val="Aptos Narrow"/>
        <family val="2"/>
      </rPr>
      <t xml:space="preserve"> + 0,25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1,3</t>
    </r>
    <r>
      <rPr>
        <sz val="11"/>
        <color rgb="FF000000"/>
        <rFont val="Aptos Narrow"/>
        <family val="2"/>
      </rPr>
      <t xml:space="preserve"> + 0,8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1,4</t>
    </r>
    <r>
      <rPr>
        <sz val="11"/>
        <color rgb="FF000000"/>
        <rFont val="Aptos Narrow"/>
        <family val="2"/>
      </rPr>
      <t xml:space="preserve"> + 1,2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1,5</t>
    </r>
    <r>
      <rPr>
        <sz val="11"/>
        <color rgb="FF000000"/>
        <rFont val="Aptos Narrow"/>
        <family val="2"/>
      </rPr>
      <t xml:space="preserve"> + 0,55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1,6</t>
    </r>
    <r>
      <rPr>
        <sz val="11"/>
        <color rgb="FF000000"/>
        <rFont val="Aptos Narrow"/>
        <family val="2"/>
      </rPr>
      <t xml:space="preserve"> +0,5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2,1</t>
    </r>
    <r>
      <rPr>
        <sz val="11"/>
        <color rgb="FF000000"/>
        <rFont val="Aptos Narrow"/>
        <family val="2"/>
      </rPr>
      <t xml:space="preserve"> + 0,8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2,2</t>
    </r>
    <r>
      <rPr>
        <sz val="11"/>
        <color rgb="FF000000"/>
        <rFont val="Aptos Narrow"/>
        <family val="2"/>
      </rPr>
      <t xml:space="preserve"> + 0,05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2,3</t>
    </r>
    <r>
      <rPr>
        <sz val="11"/>
        <color rgb="FF000000"/>
        <rFont val="Aptos Narrow"/>
        <family val="2"/>
      </rPr>
      <t xml:space="preserve"> + 0,2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2,4</t>
    </r>
    <r>
      <rPr>
        <sz val="11"/>
        <color rgb="FF000000"/>
        <rFont val="Aptos Narrow"/>
        <family val="2"/>
      </rPr>
      <t xml:space="preserve"> +0,5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2,5</t>
    </r>
    <r>
      <rPr>
        <sz val="11"/>
        <color rgb="FF000000"/>
        <rFont val="Aptos Narrow"/>
        <family val="2"/>
      </rPr>
      <t xml:space="preserve"> + 0,75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2,6</t>
    </r>
    <r>
      <rPr>
        <sz val="11"/>
        <color rgb="FF000000"/>
        <rFont val="Aptos Narrow"/>
        <family val="2"/>
      </rPr>
      <t xml:space="preserve"> + 0,4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3,1</t>
    </r>
    <r>
      <rPr>
        <sz val="11"/>
        <color rgb="FF000000"/>
        <rFont val="Aptos Narrow"/>
        <family val="2"/>
      </rPr>
      <t xml:space="preserve"> + 0,5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3,2</t>
    </r>
    <r>
      <rPr>
        <sz val="11"/>
        <color rgb="FF000000"/>
        <rFont val="Aptos Narrow"/>
        <family val="2"/>
      </rPr>
      <t xml:space="preserve"> + 0,7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3,3</t>
    </r>
    <r>
      <rPr>
        <sz val="11"/>
        <color rgb="FF000000"/>
        <rFont val="Aptos Narrow"/>
        <family val="2"/>
      </rPr>
      <t xml:space="preserve"> + 0,45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3,4</t>
    </r>
    <r>
      <rPr>
        <sz val="11"/>
        <color rgb="FF000000"/>
        <rFont val="Aptos Narrow"/>
        <family val="2"/>
      </rPr>
      <t xml:space="preserve"> + 1,00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3,5</t>
    </r>
    <r>
      <rPr>
        <sz val="11"/>
        <color rgb="FF000000"/>
        <rFont val="Aptos Narrow"/>
        <family val="2"/>
      </rPr>
      <t xml:space="preserve"> + 0,2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3,6</t>
    </r>
    <r>
      <rPr>
        <sz val="11"/>
        <color rgb="FF000000"/>
        <rFont val="Aptos Narrow"/>
        <family val="2"/>
      </rPr>
      <t xml:space="preserve"> + 0,7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4,1</t>
    </r>
    <r>
      <rPr>
        <sz val="11"/>
        <color rgb="FF000000"/>
        <rFont val="Aptos Narrow"/>
        <family val="2"/>
      </rPr>
      <t xml:space="preserve"> + 0,75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4,2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+ 0,5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4,3</t>
    </r>
    <r>
      <rPr>
        <sz val="11"/>
        <color rgb="FF000000"/>
        <rFont val="Aptos Narrow"/>
        <family val="2"/>
      </rPr>
      <t xml:space="preserve"> + 0,85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4,4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+ 0,6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4,5</t>
    </r>
    <r>
      <rPr>
        <sz val="11"/>
        <color rgb="FF000000"/>
        <rFont val="Aptos Narrow"/>
        <family val="2"/>
      </rPr>
      <t xml:space="preserve"> + 0,9</t>
    </r>
    <r>
      <rPr>
        <b/>
        <sz val="11"/>
        <color rgb="FF000000"/>
        <rFont val="Aptos Narrow"/>
        <family val="2"/>
      </rPr>
      <t>x</t>
    </r>
    <r>
      <rPr>
        <b/>
        <vertAlign val="subscript"/>
        <sz val="11"/>
        <color rgb="FF000000"/>
        <rFont val="Aptos Narrow"/>
        <family val="2"/>
      </rPr>
      <t>4,6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</si>
  <si>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1,1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1,2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1,3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1,4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1,5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1,6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</si>
  <si>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2,1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2,2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2,3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2,4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2,5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2,6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</si>
  <si>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3,1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3,2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3,3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3,4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3,5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3,6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</si>
  <si>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4,1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4,2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4,3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4,4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4,5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4,6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</si>
  <si>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>x</t>
    </r>
    <r>
      <rPr>
        <b/>
        <vertAlign val="subscript"/>
        <sz val="11"/>
        <color theme="1"/>
        <rFont val="Aptos Narrow"/>
        <family val="2"/>
        <scheme val="minor"/>
      </rPr>
      <t>7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</si>
  <si>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1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</si>
  <si>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2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</si>
  <si>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3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</si>
  <si>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4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</si>
  <si>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5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</si>
  <si>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6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</si>
  <si>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7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</si>
  <si>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8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</si>
  <si>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9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</si>
  <si>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10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</si>
  <si>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11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</si>
  <si>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12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</si>
  <si>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13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</si>
  <si>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14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</si>
  <si>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15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</si>
  <si>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16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</si>
  <si>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17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</si>
  <si>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18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</si>
  <si>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19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</si>
  <si>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20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</si>
  <si>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21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</si>
  <si>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22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</si>
  <si>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23</t>
    </r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</si>
  <si>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24</t>
    </r>
  </si>
  <si>
    <t>Valor da Variável</t>
  </si>
  <si>
    <t>Folha de Cálculo: [ModDec.xlsx]Modelo0</t>
  </si>
  <si>
    <t>Relatório Criado: 18/11/2024 12:40:33</t>
  </si>
  <si>
    <t>Tempo de Solução: 0,141 Segundos.</t>
  </si>
  <si>
    <t>$AJ$2</t>
  </si>
  <si>
    <t>Valor da Variável x1</t>
  </si>
  <si>
    <t>Valor da Variável x2</t>
  </si>
  <si>
    <t>Valor da Variável x3</t>
  </si>
  <si>
    <t>Valor da Variável x4</t>
  </si>
  <si>
    <t>Valor da Variável x5</t>
  </si>
  <si>
    <t>Valor da Variável x6</t>
  </si>
  <si>
    <t>Valor da Variável x7</t>
  </si>
  <si>
    <t>Valor da Variável x8</t>
  </si>
  <si>
    <t>Valor da Variável x1,1</t>
  </si>
  <si>
    <t>Valor da Variável x1,2</t>
  </si>
  <si>
    <t>Valor da Variável x1,3</t>
  </si>
  <si>
    <t>Valor da Variável x1,4</t>
  </si>
  <si>
    <t>Valor da Variável x1,5</t>
  </si>
  <si>
    <t>Valor da Variável x1,6</t>
  </si>
  <si>
    <t>Valor da Variável x2,1</t>
  </si>
  <si>
    <t>Valor da Variável x2,2</t>
  </si>
  <si>
    <t>Valor da Variável x2,3</t>
  </si>
  <si>
    <t>Valor da Variável x2,4</t>
  </si>
  <si>
    <t>Valor da Variável x2,5</t>
  </si>
  <si>
    <t>Valor da Variável x2,6</t>
  </si>
  <si>
    <t>Valor da Variável x3,1</t>
  </si>
  <si>
    <t>Valor da Variável x3,2</t>
  </si>
  <si>
    <t>Valor da Variável x3,3</t>
  </si>
  <si>
    <t>Valor da Variável x3,4</t>
  </si>
  <si>
    <t>Valor da Variável x3,5</t>
  </si>
  <si>
    <t>Valor da Variável x3,6</t>
  </si>
  <si>
    <t>Valor da Variável x4,1</t>
  </si>
  <si>
    <t>Valor da Variável x4,2</t>
  </si>
  <si>
    <t>Valor da Variável x4,3</t>
  </si>
  <si>
    <t>Valor da Variável x4,4</t>
  </si>
  <si>
    <t>Valor da Variável x4,5</t>
  </si>
  <si>
    <t>Valor da Variável x4,6</t>
  </si>
  <si>
    <t>$AH$10</t>
  </si>
  <si>
    <t>$AH$10&lt;=$AJ$10</t>
  </si>
  <si>
    <t>$AH$11</t>
  </si>
  <si>
    <t>$AH$11&lt;=$AJ$11</t>
  </si>
  <si>
    <t>$AH$12</t>
  </si>
  <si>
    <t>$AH$12&gt;=$AJ$12</t>
  </si>
  <si>
    <t>$AH$13</t>
  </si>
  <si>
    <t>$AH$13&gt;=$AJ$13</t>
  </si>
  <si>
    <t>$AH$14</t>
  </si>
  <si>
    <t>$AH$14&gt;=$AJ$14</t>
  </si>
  <si>
    <t>$AH$15</t>
  </si>
  <si>
    <t>$AH$15&gt;=$AJ$15</t>
  </si>
  <si>
    <t>$AH$16</t>
  </si>
  <si>
    <t>$AH$16&gt;=$AJ$16</t>
  </si>
  <si>
    <t>$AH$17</t>
  </si>
  <si>
    <t>$AH$17&gt;=$AJ$17</t>
  </si>
  <si>
    <t>$AH$18</t>
  </si>
  <si>
    <t>$AH$18&gt;=$AJ$18</t>
  </si>
  <si>
    <t>$AH$19</t>
  </si>
  <si>
    <t>$AH$19&gt;=$AJ$19</t>
  </si>
  <si>
    <t>$AH$20</t>
  </si>
  <si>
    <t>$AH$20=$AJ$20</t>
  </si>
  <si>
    <t>$AH$21</t>
  </si>
  <si>
    <t>$AH$21&gt;=$AJ$21</t>
  </si>
  <si>
    <t>$AH$22</t>
  </si>
  <si>
    <t>$AH$22&gt;=$AJ$22</t>
  </si>
  <si>
    <t>$AH$23</t>
  </si>
  <si>
    <t>$AH$23&gt;=$AJ$23</t>
  </si>
  <si>
    <t>$AH$24</t>
  </si>
  <si>
    <t>$AH$24=$AJ$24</t>
  </si>
  <si>
    <t>$AH$25</t>
  </si>
  <si>
    <t>$AH$25=$AJ$25</t>
  </si>
  <si>
    <t>$AH$26</t>
  </si>
  <si>
    <t>$AH$26=$AJ$26</t>
  </si>
  <si>
    <t>$AH$27</t>
  </si>
  <si>
    <t>$AH$27=$AJ$27</t>
  </si>
  <si>
    <t>$AH$4</t>
  </si>
  <si>
    <t>$AH$4&lt;=$AJ$4</t>
  </si>
  <si>
    <t>$AH$5</t>
  </si>
  <si>
    <t>$AH$5&lt;=$AJ$5</t>
  </si>
  <si>
    <t>$AH$6</t>
  </si>
  <si>
    <t>$AH$6&lt;=$AJ$6</t>
  </si>
  <si>
    <t>$AH$7</t>
  </si>
  <si>
    <t>$AH$7&lt;=$AJ$7</t>
  </si>
  <si>
    <t>$AH$8</t>
  </si>
  <si>
    <t>$AH$8&lt;=$AJ$8</t>
  </si>
  <si>
    <t>$AH$9</t>
  </si>
  <si>
    <t>$AH$9&lt;=$AJ$9</t>
  </si>
  <si>
    <t>Relatório Criado: 18/11/2024 12:40:34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</si>
</sst>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indexed="18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bscript"/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7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/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3" fillId="0" borderId="0" xfId="0" applyFont="1" applyAlignment="1">
      <alignment horizontal="left" indent="1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11" borderId="1" xfId="0" applyFill="1" applyBorder="1" applyAlignment="1">
      <alignment horizontal="center"/>
    </xf>
    <xf numFmtId="11" fontId="0" fillId="11" borderId="1" xfId="0" applyNumberForma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0" fillId="0" borderId="10" xfId="0" applyBorder="1"/>
    <xf numFmtId="0" fontId="4" fillId="0" borderId="9" xfId="0" applyFont="1" applyBorder="1" applyAlignment="1">
      <alignment horizontal="center"/>
    </xf>
    <xf numFmtId="0" fontId="0" fillId="0" borderId="11" xfId="0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E9F8"/>
      <color rgb="FFA6C9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1</xdr:row>
      <xdr:rowOff>104775</xdr:rowOff>
    </xdr:from>
    <xdr:to>
      <xdr:col>2</xdr:col>
      <xdr:colOff>666750</xdr:colOff>
      <xdr:row>1</xdr:row>
      <xdr:rowOff>104775</xdr:rowOff>
    </xdr:to>
    <xdr:cxnSp macro="">
      <xdr:nvCxnSpPr>
        <xdr:cNvPr id="5" name="Conexão reta 1">
          <a:extLst>
            <a:ext uri="{FF2B5EF4-FFF2-40B4-BE49-F238E27FC236}">
              <a16:creationId xmlns:a16="http://schemas.microsoft.com/office/drawing/2014/main" id="{18E33960-123D-DE72-99AD-B381F2D2E0AB}"/>
            </a:ext>
          </a:extLst>
        </xdr:cNvPr>
        <xdr:cNvCxnSpPr>
          <a:cxnSpLocks/>
        </xdr:cNvCxnSpPr>
      </xdr:nvCxnSpPr>
      <xdr:spPr>
        <a:xfrm>
          <a:off x="1676400" y="285750"/>
          <a:ext cx="447675" cy="0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CDB0-66CB-4457-B0BE-A6040D63AE8B}">
  <dimension ref="B2:J25"/>
  <sheetViews>
    <sheetView tabSelected="1" zoomScale="80" zoomScaleNormal="80" workbookViewId="0">
      <selection activeCell="B4" sqref="B4"/>
    </sheetView>
  </sheetViews>
  <sheetFormatPr defaultRowHeight="14.4" x14ac:dyDescent="0.3"/>
  <cols>
    <col min="2" max="8" width="11.6640625" customWidth="1"/>
    <col min="10" max="10" width="39.5546875" customWidth="1"/>
  </cols>
  <sheetData>
    <row r="2" spans="2:10" x14ac:dyDescent="0.3">
      <c r="B2" s="43" t="s">
        <v>0</v>
      </c>
      <c r="C2" s="43"/>
      <c r="D2" s="43"/>
      <c r="E2" s="43"/>
      <c r="F2" s="43"/>
    </row>
    <row r="3" spans="2:10" x14ac:dyDescent="0.3">
      <c r="B3" s="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J3" t="s">
        <v>6</v>
      </c>
    </row>
    <row r="4" spans="2:10" x14ac:dyDescent="0.3">
      <c r="B4" s="9" t="s">
        <v>7</v>
      </c>
      <c r="C4" s="7">
        <v>200000</v>
      </c>
      <c r="D4" s="6">
        <v>42.5</v>
      </c>
      <c r="E4" s="7">
        <f>0.3*C4</f>
        <v>60000</v>
      </c>
      <c r="F4" s="6">
        <f>1.1*D4</f>
        <v>46.750000000000007</v>
      </c>
      <c r="J4" t="s">
        <v>8</v>
      </c>
    </row>
    <row r="5" spans="2:10" x14ac:dyDescent="0.3">
      <c r="B5" s="9" t="s">
        <v>9</v>
      </c>
      <c r="C5" s="7">
        <v>50000</v>
      </c>
      <c r="D5" s="6">
        <v>45</v>
      </c>
      <c r="E5" s="7">
        <f t="shared" ref="E5:E7" si="0">0.3*C5</f>
        <v>15000</v>
      </c>
      <c r="F5" s="6">
        <f t="shared" ref="F5:F7" si="1">1.1*D5</f>
        <v>49.500000000000007</v>
      </c>
      <c r="J5" t="s">
        <v>10</v>
      </c>
    </row>
    <row r="6" spans="2:10" x14ac:dyDescent="0.3">
      <c r="B6" s="9" t="s">
        <v>11</v>
      </c>
      <c r="C6" s="7">
        <v>125000</v>
      </c>
      <c r="D6" s="6">
        <v>47.5</v>
      </c>
      <c r="E6" s="7">
        <f t="shared" si="0"/>
        <v>37500</v>
      </c>
      <c r="F6" s="6">
        <f t="shared" si="1"/>
        <v>52.250000000000007</v>
      </c>
      <c r="J6" t="s">
        <v>12</v>
      </c>
    </row>
    <row r="7" spans="2:10" x14ac:dyDescent="0.3">
      <c r="B7" s="9" t="s">
        <v>13</v>
      </c>
      <c r="C7" s="7">
        <v>33500</v>
      </c>
      <c r="D7" s="6">
        <v>50</v>
      </c>
      <c r="E7" s="7">
        <f t="shared" si="0"/>
        <v>10050</v>
      </c>
      <c r="F7" s="6">
        <f t="shared" si="1"/>
        <v>55.000000000000007</v>
      </c>
    </row>
    <row r="9" spans="2:10" x14ac:dyDescent="0.3">
      <c r="B9" s="44" t="s">
        <v>14</v>
      </c>
      <c r="C9" s="45"/>
      <c r="D9" s="45"/>
      <c r="E9" s="45"/>
      <c r="F9" s="45"/>
      <c r="G9" s="45"/>
      <c r="H9" s="46"/>
    </row>
    <row r="10" spans="2:10" x14ac:dyDescent="0.3">
      <c r="B10" s="11" t="s">
        <v>15</v>
      </c>
      <c r="C10" s="13" t="s">
        <v>16</v>
      </c>
      <c r="D10" s="13" t="s">
        <v>17</v>
      </c>
      <c r="E10" s="13" t="s">
        <v>18</v>
      </c>
      <c r="F10" s="13" t="s">
        <v>19</v>
      </c>
      <c r="G10" s="13" t="s">
        <v>20</v>
      </c>
      <c r="H10" s="13" t="s">
        <v>21</v>
      </c>
      <c r="J10" t="s">
        <v>22</v>
      </c>
    </row>
    <row r="11" spans="2:10" x14ac:dyDescent="0.3">
      <c r="B11" s="9" t="str">
        <f>B4</f>
        <v>Nocal</v>
      </c>
      <c r="C11" s="6">
        <v>0.1</v>
      </c>
      <c r="D11" s="6">
        <v>0.6</v>
      </c>
      <c r="E11" s="6">
        <v>0.25</v>
      </c>
      <c r="F11" s="6">
        <v>0.8</v>
      </c>
      <c r="G11" s="6">
        <v>1.2</v>
      </c>
      <c r="H11" s="6">
        <v>0.55000000000000004</v>
      </c>
    </row>
    <row r="12" spans="2:10" x14ac:dyDescent="0.3">
      <c r="B12" s="9" t="str">
        <f t="shared" ref="B12:B14" si="2">B5</f>
        <v>Catumbela</v>
      </c>
      <c r="C12" s="6">
        <v>0.5</v>
      </c>
      <c r="D12" s="6">
        <v>0.8</v>
      </c>
      <c r="E12" s="6">
        <v>0.05</v>
      </c>
      <c r="F12" s="6">
        <v>0.2</v>
      </c>
      <c r="G12" s="6">
        <v>0.5</v>
      </c>
      <c r="H12" s="6">
        <v>0.75</v>
      </c>
    </row>
    <row r="13" spans="2:10" x14ac:dyDescent="0.3">
      <c r="B13" s="9" t="str">
        <f t="shared" si="2"/>
        <v>Cobeje</v>
      </c>
      <c r="C13" s="6">
        <v>0.4</v>
      </c>
      <c r="D13" s="6">
        <v>0.5</v>
      </c>
      <c r="E13" s="6">
        <v>0.7</v>
      </c>
      <c r="F13" s="6">
        <v>0.45</v>
      </c>
      <c r="G13" s="6">
        <v>1</v>
      </c>
      <c r="H13" s="6">
        <v>0.2</v>
      </c>
    </row>
    <row r="14" spans="2:10" x14ac:dyDescent="0.3">
      <c r="B14" s="9" t="str">
        <f t="shared" si="2"/>
        <v>Nocebo</v>
      </c>
      <c r="C14" s="6">
        <v>0.7</v>
      </c>
      <c r="D14" s="6">
        <v>0.75</v>
      </c>
      <c r="E14" s="6">
        <v>0.5</v>
      </c>
      <c r="F14" s="6">
        <v>0.85</v>
      </c>
      <c r="G14" s="6">
        <v>0.6</v>
      </c>
      <c r="H14" s="6">
        <v>0.9</v>
      </c>
    </row>
    <row r="15" spans="2:10" x14ac:dyDescent="0.3">
      <c r="B15" s="1"/>
      <c r="C15" s="1"/>
      <c r="D15" s="1"/>
      <c r="E15" s="1"/>
      <c r="F15" s="1"/>
      <c r="G15" s="1"/>
      <c r="H15" s="1"/>
    </row>
    <row r="16" spans="2:10" x14ac:dyDescent="0.3">
      <c r="B16" s="47" t="s">
        <v>23</v>
      </c>
      <c r="C16" s="48"/>
      <c r="D16" s="48"/>
      <c r="E16" s="48"/>
      <c r="F16" s="48"/>
      <c r="G16" s="48"/>
      <c r="H16" s="49"/>
    </row>
    <row r="17" spans="2:10" x14ac:dyDescent="0.3">
      <c r="B17" s="3"/>
      <c r="C17" s="13" t="str" cm="1">
        <f t="array" ref="C17:H17">C10:H10</f>
        <v>Luanda</v>
      </c>
      <c r="D17" s="13" t="str">
        <v>Cabinda</v>
      </c>
      <c r="E17" s="13" t="str">
        <v>Lobito</v>
      </c>
      <c r="F17" s="13" t="str">
        <v>Huambo</v>
      </c>
      <c r="G17" s="13" t="str">
        <v>Namibe</v>
      </c>
      <c r="H17" s="13" t="str">
        <v>Malange</v>
      </c>
      <c r="J17" t="s">
        <v>24</v>
      </c>
    </row>
    <row r="18" spans="2:10" x14ac:dyDescent="0.3">
      <c r="B18" s="15" t="s">
        <v>25</v>
      </c>
      <c r="C18" s="7">
        <v>245000</v>
      </c>
      <c r="D18" s="7">
        <v>30000</v>
      </c>
      <c r="E18" s="7">
        <v>58387</v>
      </c>
      <c r="F18" s="7">
        <v>58656</v>
      </c>
      <c r="G18" s="7">
        <v>25000</v>
      </c>
      <c r="H18" s="7">
        <v>38700</v>
      </c>
    </row>
    <row r="19" spans="2:10" x14ac:dyDescent="0.3">
      <c r="B19" s="1"/>
      <c r="C19" s="1"/>
      <c r="D19" s="1"/>
      <c r="E19" s="1"/>
      <c r="F19" s="1"/>
      <c r="G19" s="1"/>
      <c r="H19" s="1"/>
    </row>
    <row r="20" spans="2:10" x14ac:dyDescent="0.3">
      <c r="B20" s="52" t="s">
        <v>26</v>
      </c>
      <c r="C20" s="52"/>
      <c r="D20" s="52"/>
      <c r="E20" s="52"/>
      <c r="F20" s="52"/>
      <c r="G20" s="52"/>
      <c r="H20" s="1"/>
    </row>
    <row r="21" spans="2:10" x14ac:dyDescent="0.3">
      <c r="B21" s="4" t="s">
        <v>27</v>
      </c>
      <c r="C21" s="43" t="s">
        <v>28</v>
      </c>
      <c r="D21" s="43"/>
      <c r="E21" s="11" t="s">
        <v>29</v>
      </c>
      <c r="F21" s="51" t="s">
        <v>30</v>
      </c>
      <c r="G21" s="51"/>
      <c r="H21" s="1"/>
    </row>
    <row r="22" spans="2:10" x14ac:dyDescent="0.3">
      <c r="B22" s="53" t="str">
        <f>B5</f>
        <v>Catumbela</v>
      </c>
      <c r="C22" s="50" t="s">
        <v>31</v>
      </c>
      <c r="D22" s="50">
        <v>5000</v>
      </c>
      <c r="E22" s="13" t="str">
        <f>G10</f>
        <v>Namibe</v>
      </c>
      <c r="F22" s="7" t="s">
        <v>31</v>
      </c>
      <c r="G22" s="7">
        <v>5000</v>
      </c>
      <c r="H22" s="1"/>
    </row>
    <row r="23" spans="2:10" x14ac:dyDescent="0.3">
      <c r="B23" s="53"/>
      <c r="C23" s="50"/>
      <c r="D23" s="50"/>
      <c r="E23" s="13" t="str">
        <f>D10</f>
        <v>Cabinda</v>
      </c>
      <c r="F23" s="50" t="s">
        <v>32</v>
      </c>
      <c r="G23" s="50" t="s">
        <v>33</v>
      </c>
      <c r="H23" s="1"/>
    </row>
    <row r="24" spans="2:10" x14ac:dyDescent="0.3">
      <c r="B24" s="9" t="str">
        <f>B4</f>
        <v>Nocal</v>
      </c>
      <c r="C24" s="7" t="s">
        <v>31</v>
      </c>
      <c r="D24" s="7">
        <v>175000</v>
      </c>
      <c r="E24" s="13" t="str">
        <f>E10</f>
        <v>Lobito</v>
      </c>
      <c r="F24" s="50"/>
      <c r="G24" s="50"/>
      <c r="H24" s="1"/>
    </row>
    <row r="25" spans="2:10" x14ac:dyDescent="0.3">
      <c r="B25" s="9" t="str">
        <f>B7</f>
        <v>Nocebo</v>
      </c>
      <c r="C25" s="7" t="s">
        <v>31</v>
      </c>
      <c r="D25" s="7">
        <v>10000</v>
      </c>
      <c r="E25" s="13" t="str">
        <f>F10</f>
        <v>Huambo</v>
      </c>
      <c r="F25" s="7" t="s">
        <v>31</v>
      </c>
      <c r="G25" s="7">
        <v>10000</v>
      </c>
      <c r="H25" s="1"/>
    </row>
  </sheetData>
  <mergeCells count="11">
    <mergeCell ref="B2:F2"/>
    <mergeCell ref="B9:H9"/>
    <mergeCell ref="B16:H16"/>
    <mergeCell ref="C21:D21"/>
    <mergeCell ref="C22:C23"/>
    <mergeCell ref="F21:G21"/>
    <mergeCell ref="B20:G20"/>
    <mergeCell ref="B22:B23"/>
    <mergeCell ref="D22:D23"/>
    <mergeCell ref="F23:F24"/>
    <mergeCell ref="G23:G24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F289-E5CB-4732-979C-EA36592AB261}">
  <dimension ref="B2:P31"/>
  <sheetViews>
    <sheetView zoomScale="80" zoomScaleNormal="80" workbookViewId="0">
      <selection activeCell="B9" sqref="B9"/>
    </sheetView>
  </sheetViews>
  <sheetFormatPr defaultRowHeight="14.4" x14ac:dyDescent="0.3"/>
  <cols>
    <col min="2" max="8" width="12.6640625" customWidth="1"/>
    <col min="10" max="10" width="15.109375" bestFit="1" customWidth="1"/>
    <col min="11" max="12" width="11.6640625" customWidth="1"/>
    <col min="14" max="14" width="23.6640625" bestFit="1" customWidth="1"/>
    <col min="15" max="16" width="12.6640625" customWidth="1"/>
  </cols>
  <sheetData>
    <row r="2" spans="2:16" ht="15.6" x14ac:dyDescent="0.35">
      <c r="B2" s="21" t="s">
        <v>34</v>
      </c>
      <c r="C2" s="1"/>
      <c r="D2" s="22" t="s">
        <v>191</v>
      </c>
    </row>
    <row r="3" spans="2:16" x14ac:dyDescent="0.3">
      <c r="C3" s="2"/>
    </row>
    <row r="4" spans="2:16" x14ac:dyDescent="0.3">
      <c r="F4" s="57" t="s">
        <v>35</v>
      </c>
      <c r="G4" s="58"/>
      <c r="H4" s="59"/>
    </row>
    <row r="5" spans="2:16" x14ac:dyDescent="0.3">
      <c r="F5" s="4" t="s">
        <v>37</v>
      </c>
      <c r="G5" s="4" t="s">
        <v>38</v>
      </c>
      <c r="H5" s="4" t="s">
        <v>39</v>
      </c>
      <c r="J5" s="8" t="s">
        <v>36</v>
      </c>
    </row>
    <row r="6" spans="2:16" ht="15.6" x14ac:dyDescent="0.3">
      <c r="B6" s="57" t="s">
        <v>40</v>
      </c>
      <c r="C6" s="58"/>
      <c r="D6" s="59"/>
      <c r="F6" s="17" t="s">
        <v>173</v>
      </c>
      <c r="G6" s="10" t="s">
        <v>41</v>
      </c>
      <c r="H6" s="10">
        <f>Dados!C4</f>
        <v>200000</v>
      </c>
    </row>
    <row r="7" spans="2:16" ht="15.6" x14ac:dyDescent="0.3">
      <c r="B7" s="4" t="s">
        <v>1</v>
      </c>
      <c r="C7" s="14" t="s">
        <v>2</v>
      </c>
      <c r="D7" s="14" t="s">
        <v>4</v>
      </c>
      <c r="F7" s="37" t="s">
        <v>181</v>
      </c>
      <c r="G7" s="10" t="s">
        <v>41</v>
      </c>
      <c r="H7" s="10">
        <f>Dados!C5</f>
        <v>50000</v>
      </c>
    </row>
    <row r="8" spans="2:16" ht="15.6" x14ac:dyDescent="0.35">
      <c r="B8" s="9" t="s">
        <v>7</v>
      </c>
      <c r="C8" s="24" t="s">
        <v>173</v>
      </c>
      <c r="D8" s="24" t="s">
        <v>177</v>
      </c>
      <c r="F8" s="18" t="s">
        <v>175</v>
      </c>
      <c r="G8" s="7" t="s">
        <v>41</v>
      </c>
      <c r="H8" s="10">
        <f>Dados!C6</f>
        <v>125000</v>
      </c>
    </row>
    <row r="9" spans="2:16" ht="15.6" x14ac:dyDescent="0.35">
      <c r="B9" s="9" t="s">
        <v>9</v>
      </c>
      <c r="C9" s="24" t="s">
        <v>174</v>
      </c>
      <c r="D9" s="24" t="s">
        <v>178</v>
      </c>
      <c r="F9" s="18" t="s">
        <v>176</v>
      </c>
      <c r="G9" s="7" t="s">
        <v>41</v>
      </c>
      <c r="H9" s="10">
        <f>Dados!C7</f>
        <v>33500</v>
      </c>
    </row>
    <row r="10" spans="2:16" ht="15.6" x14ac:dyDescent="0.35">
      <c r="B10" s="9" t="s">
        <v>11</v>
      </c>
      <c r="C10" s="24" t="s">
        <v>175</v>
      </c>
      <c r="D10" s="24" t="s">
        <v>179</v>
      </c>
      <c r="F10" s="18" t="s">
        <v>177</v>
      </c>
      <c r="G10" s="7" t="s">
        <v>41</v>
      </c>
      <c r="H10" s="7">
        <f>Dados!E4</f>
        <v>60000</v>
      </c>
    </row>
    <row r="11" spans="2:16" ht="15.6" x14ac:dyDescent="0.35">
      <c r="B11" s="9" t="s">
        <v>13</v>
      </c>
      <c r="C11" s="24" t="s">
        <v>176</v>
      </c>
      <c r="D11" s="24" t="s">
        <v>180</v>
      </c>
      <c r="F11" s="18" t="s">
        <v>178</v>
      </c>
      <c r="G11" s="7" t="s">
        <v>41</v>
      </c>
      <c r="H11" s="7">
        <f>Dados!E5</f>
        <v>15000</v>
      </c>
    </row>
    <row r="12" spans="2:16" ht="15.6" x14ac:dyDescent="0.35">
      <c r="F12" s="18" t="s">
        <v>179</v>
      </c>
      <c r="G12" s="7" t="s">
        <v>41</v>
      </c>
      <c r="H12" s="7">
        <f>Dados!E6</f>
        <v>37500</v>
      </c>
    </row>
    <row r="13" spans="2:16" ht="15.6" x14ac:dyDescent="0.35">
      <c r="F13" s="18" t="s">
        <v>180</v>
      </c>
      <c r="G13" s="7" t="s">
        <v>41</v>
      </c>
      <c r="H13" s="7">
        <f>Dados!E7</f>
        <v>10050</v>
      </c>
    </row>
    <row r="15" spans="2:16" x14ac:dyDescent="0.3">
      <c r="J15" s="47" t="s">
        <v>42</v>
      </c>
      <c r="K15" s="48"/>
      <c r="L15" s="49"/>
    </row>
    <row r="16" spans="2:16" x14ac:dyDescent="0.3">
      <c r="B16" s="44" t="s">
        <v>43</v>
      </c>
      <c r="C16" s="45"/>
      <c r="D16" s="45"/>
      <c r="E16" s="45"/>
      <c r="F16" s="45"/>
      <c r="G16" s="45"/>
      <c r="H16" s="46"/>
      <c r="J16" s="11" t="s">
        <v>44</v>
      </c>
      <c r="K16" s="26" t="s">
        <v>38</v>
      </c>
      <c r="L16" s="26" t="s">
        <v>39</v>
      </c>
      <c r="N16" s="51" t="s">
        <v>45</v>
      </c>
      <c r="O16" s="51"/>
      <c r="P16" s="51"/>
    </row>
    <row r="17" spans="2:16" ht="15.6" x14ac:dyDescent="0.35">
      <c r="B17" s="11" t="s">
        <v>15</v>
      </c>
      <c r="C17" s="13" t="s">
        <v>16</v>
      </c>
      <c r="D17" s="13" t="s">
        <v>17</v>
      </c>
      <c r="E17" s="13" t="s">
        <v>18</v>
      </c>
      <c r="F17" s="13" t="s">
        <v>19</v>
      </c>
      <c r="G17" s="13" t="s">
        <v>20</v>
      </c>
      <c r="H17" s="13" t="s">
        <v>21</v>
      </c>
      <c r="J17" s="19" t="s">
        <v>185</v>
      </c>
      <c r="K17" s="7" t="s">
        <v>31</v>
      </c>
      <c r="L17" s="7">
        <f>Dados!C18</f>
        <v>245000</v>
      </c>
      <c r="N17" s="11" t="s">
        <v>44</v>
      </c>
      <c r="O17" s="11" t="s">
        <v>38</v>
      </c>
      <c r="P17" s="4" t="s">
        <v>39</v>
      </c>
    </row>
    <row r="18" spans="2:16" ht="15.6" x14ac:dyDescent="0.35">
      <c r="B18" s="9" t="str">
        <f>B8</f>
        <v>Nocal</v>
      </c>
      <c r="C18" s="23" t="s">
        <v>149</v>
      </c>
      <c r="D18" s="20" t="s">
        <v>150</v>
      </c>
      <c r="E18" s="20" t="s">
        <v>151</v>
      </c>
      <c r="F18" s="20" t="s">
        <v>152</v>
      </c>
      <c r="G18" s="20" t="s">
        <v>153</v>
      </c>
      <c r="H18" s="20" t="s">
        <v>154</v>
      </c>
      <c r="J18" s="19" t="s">
        <v>186</v>
      </c>
      <c r="K18" s="7" t="s">
        <v>31</v>
      </c>
      <c r="L18" s="7">
        <f>Dados!D18</f>
        <v>30000</v>
      </c>
      <c r="N18" s="19" t="s">
        <v>192</v>
      </c>
      <c r="O18" s="7" t="s">
        <v>32</v>
      </c>
      <c r="P18" s="18" t="s">
        <v>183</v>
      </c>
    </row>
    <row r="19" spans="2:16" ht="15.6" x14ac:dyDescent="0.35">
      <c r="B19" s="9" t="str">
        <f>B9</f>
        <v>Catumbela</v>
      </c>
      <c r="C19" s="20" t="s">
        <v>155</v>
      </c>
      <c r="D19" s="20" t="s">
        <v>156</v>
      </c>
      <c r="E19" s="20" t="s">
        <v>157</v>
      </c>
      <c r="F19" s="20" t="s">
        <v>158</v>
      </c>
      <c r="G19" s="20" t="s">
        <v>159</v>
      </c>
      <c r="H19" s="20" t="s">
        <v>160</v>
      </c>
      <c r="J19" s="19" t="s">
        <v>187</v>
      </c>
      <c r="K19" s="7" t="s">
        <v>31</v>
      </c>
      <c r="L19" s="7">
        <f>Dados!E18</f>
        <v>58387</v>
      </c>
      <c r="N19" s="19" t="s">
        <v>193</v>
      </c>
      <c r="O19" s="7" t="s">
        <v>32</v>
      </c>
      <c r="P19" s="18" t="s">
        <v>182</v>
      </c>
    </row>
    <row r="20" spans="2:16" ht="15.6" x14ac:dyDescent="0.35">
      <c r="B20" s="9" t="str">
        <f>B10</f>
        <v>Cobeje</v>
      </c>
      <c r="C20" s="20" t="s">
        <v>161</v>
      </c>
      <c r="D20" s="20" t="s">
        <v>162</v>
      </c>
      <c r="E20" s="20" t="s">
        <v>163</v>
      </c>
      <c r="F20" s="20" t="s">
        <v>164</v>
      </c>
      <c r="G20" s="20" t="s">
        <v>165</v>
      </c>
      <c r="H20" s="20" t="s">
        <v>166</v>
      </c>
      <c r="J20" s="19" t="s">
        <v>188</v>
      </c>
      <c r="K20" s="7" t="s">
        <v>31</v>
      </c>
      <c r="L20" s="7">
        <f>Dados!F18</f>
        <v>58656</v>
      </c>
      <c r="N20" s="19" t="s">
        <v>194</v>
      </c>
      <c r="O20" s="7" t="s">
        <v>32</v>
      </c>
      <c r="P20" s="18" t="s">
        <v>196</v>
      </c>
    </row>
    <row r="21" spans="2:16" ht="15.6" x14ac:dyDescent="0.35">
      <c r="B21" s="9" t="str">
        <f>B11</f>
        <v>Nocebo</v>
      </c>
      <c r="C21" s="20" t="s">
        <v>167</v>
      </c>
      <c r="D21" s="20" t="s">
        <v>168</v>
      </c>
      <c r="E21" s="20" t="s">
        <v>169</v>
      </c>
      <c r="F21" s="20" t="s">
        <v>170</v>
      </c>
      <c r="G21" s="20" t="s">
        <v>171</v>
      </c>
      <c r="H21" s="20" t="s">
        <v>172</v>
      </c>
      <c r="J21" s="19" t="s">
        <v>189</v>
      </c>
      <c r="K21" s="7" t="s">
        <v>31</v>
      </c>
      <c r="L21" s="7">
        <f>Dados!G18</f>
        <v>25000</v>
      </c>
      <c r="N21" s="19" t="s">
        <v>195</v>
      </c>
      <c r="O21" s="7" t="s">
        <v>32</v>
      </c>
      <c r="P21" s="18" t="s">
        <v>184</v>
      </c>
    </row>
    <row r="22" spans="2:16" ht="15.6" x14ac:dyDescent="0.35">
      <c r="J22" s="19" t="s">
        <v>190</v>
      </c>
      <c r="K22" s="7" t="s">
        <v>31</v>
      </c>
      <c r="L22" s="7">
        <f>Dados!H18</f>
        <v>38700</v>
      </c>
      <c r="N22" s="1"/>
      <c r="O22" s="1"/>
      <c r="P22" s="1"/>
    </row>
    <row r="24" spans="2:16" x14ac:dyDescent="0.3">
      <c r="D24" s="54" t="s">
        <v>46</v>
      </c>
      <c r="E24" s="55"/>
      <c r="F24" s="56"/>
    </row>
    <row r="25" spans="2:16" x14ac:dyDescent="0.3">
      <c r="D25" s="5" t="s">
        <v>37</v>
      </c>
      <c r="E25" s="5" t="s">
        <v>38</v>
      </c>
      <c r="F25" s="5" t="s">
        <v>39</v>
      </c>
    </row>
    <row r="26" spans="2:16" ht="15.6" x14ac:dyDescent="0.35">
      <c r="D26" s="25" t="s">
        <v>182</v>
      </c>
      <c r="E26" s="7" t="s">
        <v>31</v>
      </c>
      <c r="F26" s="7">
        <f>Dados!D22</f>
        <v>5000</v>
      </c>
    </row>
    <row r="27" spans="2:16" ht="15.6" x14ac:dyDescent="0.35">
      <c r="D27" s="25" t="s">
        <v>159</v>
      </c>
      <c r="E27" s="7" t="s">
        <v>31</v>
      </c>
      <c r="F27" s="7">
        <v>5000</v>
      </c>
    </row>
    <row r="28" spans="2:16" ht="15.6" x14ac:dyDescent="0.35">
      <c r="D28" s="25" t="s">
        <v>156</v>
      </c>
      <c r="E28" s="7" t="s">
        <v>32</v>
      </c>
      <c r="F28" s="20" t="s">
        <v>151</v>
      </c>
    </row>
    <row r="29" spans="2:16" ht="15.6" x14ac:dyDescent="0.35">
      <c r="D29" s="25" t="s">
        <v>183</v>
      </c>
      <c r="E29" s="7" t="s">
        <v>31</v>
      </c>
      <c r="F29" s="7">
        <f>Dados!D24</f>
        <v>175000</v>
      </c>
    </row>
    <row r="30" spans="2:16" ht="15.6" x14ac:dyDescent="0.35">
      <c r="D30" s="25" t="s">
        <v>184</v>
      </c>
      <c r="E30" s="7" t="s">
        <v>31</v>
      </c>
      <c r="F30" s="7">
        <f>Dados!D25</f>
        <v>10000</v>
      </c>
    </row>
    <row r="31" spans="2:16" ht="15.6" x14ac:dyDescent="0.35">
      <c r="D31" s="25" t="s">
        <v>170</v>
      </c>
      <c r="E31" s="7" t="s">
        <v>31</v>
      </c>
      <c r="F31" s="7">
        <v>10000</v>
      </c>
    </row>
  </sheetData>
  <mergeCells count="6">
    <mergeCell ref="D24:F24"/>
    <mergeCell ref="N16:P16"/>
    <mergeCell ref="B6:D6"/>
    <mergeCell ref="F4:H4"/>
    <mergeCell ref="B16:H16"/>
    <mergeCell ref="J15:L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AB1A-5AF0-4FDF-AA2F-10DDA0E73497}">
  <dimension ref="A1:BN35"/>
  <sheetViews>
    <sheetView zoomScale="80" zoomScaleNormal="80" workbookViewId="0">
      <selection activeCell="AI8" sqref="AI8"/>
    </sheetView>
  </sheetViews>
  <sheetFormatPr defaultRowHeight="14.4" x14ac:dyDescent="0.3"/>
  <cols>
    <col min="1" max="1" width="15" bestFit="1" customWidth="1"/>
    <col min="2" max="2" width="7" style="1" customWidth="1"/>
    <col min="3" max="3" width="6" style="1" bestFit="1" customWidth="1"/>
    <col min="4" max="4" width="7" style="1" customWidth="1"/>
    <col min="5" max="7" width="6" style="1" bestFit="1" customWidth="1"/>
    <col min="8" max="9" width="5.5546875" style="1" bestFit="1" customWidth="1"/>
    <col min="10" max="10" width="7" style="1" customWidth="1"/>
    <col min="11" max="11" width="6" style="1" bestFit="1" customWidth="1"/>
    <col min="12" max="17" width="4.5546875" style="1" bestFit="1" customWidth="1"/>
    <col min="18" max="18" width="6" style="1" bestFit="1" customWidth="1"/>
    <col min="19" max="19" width="4.5546875" style="1" bestFit="1" customWidth="1"/>
    <col min="20" max="20" width="5" style="1" bestFit="1" customWidth="1"/>
    <col min="21" max="22" width="4.5546875" style="1" bestFit="1" customWidth="1"/>
    <col min="23" max="23" width="6" style="1" bestFit="1" customWidth="1"/>
    <col min="24" max="24" width="5" style="1" bestFit="1" customWidth="1"/>
    <col min="25" max="27" width="6" style="1" bestFit="1" customWidth="1"/>
    <col min="28" max="30" width="4.5546875" style="1" bestFit="1" customWidth="1"/>
    <col min="31" max="31" width="6" style="1" bestFit="1" customWidth="1"/>
    <col min="32" max="33" width="4.5546875" style="1" bestFit="1" customWidth="1"/>
    <col min="34" max="34" width="7" bestFit="1" customWidth="1"/>
    <col min="35" max="35" width="5.21875" bestFit="1" customWidth="1"/>
    <col min="36" max="36" width="12" bestFit="1" customWidth="1"/>
    <col min="37" max="57" width="5.6640625" customWidth="1"/>
    <col min="58" max="58" width="7.109375" bestFit="1" customWidth="1"/>
    <col min="59" max="59" width="5.33203125" bestFit="1" customWidth="1"/>
    <col min="60" max="60" width="12.33203125" bestFit="1" customWidth="1"/>
    <col min="61" max="66" width="5.6640625" customWidth="1"/>
  </cols>
  <sheetData>
    <row r="1" spans="1:66" ht="15.6" x14ac:dyDescent="0.35">
      <c r="A1" s="27" t="s">
        <v>37</v>
      </c>
      <c r="B1" s="4" t="s">
        <v>173</v>
      </c>
      <c r="C1" s="4" t="s">
        <v>174</v>
      </c>
      <c r="D1" s="4" t="s">
        <v>175</v>
      </c>
      <c r="E1" s="4" t="s">
        <v>176</v>
      </c>
      <c r="F1" s="4" t="s">
        <v>177</v>
      </c>
      <c r="G1" s="4" t="s">
        <v>178</v>
      </c>
      <c r="H1" s="4" t="s">
        <v>179</v>
      </c>
      <c r="I1" s="4" t="s">
        <v>180</v>
      </c>
      <c r="J1" s="11" t="s">
        <v>149</v>
      </c>
      <c r="K1" s="11" t="s">
        <v>150</v>
      </c>
      <c r="L1" s="11" t="s">
        <v>151</v>
      </c>
      <c r="M1" s="11" t="s">
        <v>152</v>
      </c>
      <c r="N1" s="11" t="s">
        <v>153</v>
      </c>
      <c r="O1" s="11" t="s">
        <v>154</v>
      </c>
      <c r="P1" s="11" t="s">
        <v>155</v>
      </c>
      <c r="Q1" s="11" t="s">
        <v>156</v>
      </c>
      <c r="R1" s="11" t="s">
        <v>157</v>
      </c>
      <c r="S1" s="11" t="s">
        <v>158</v>
      </c>
      <c r="T1" s="11" t="s">
        <v>159</v>
      </c>
      <c r="U1" s="11" t="s">
        <v>160</v>
      </c>
      <c r="V1" s="11" t="s">
        <v>161</v>
      </c>
      <c r="W1" s="11" t="s">
        <v>162</v>
      </c>
      <c r="X1" s="11" t="s">
        <v>163</v>
      </c>
      <c r="Y1" s="11" t="s">
        <v>164</v>
      </c>
      <c r="Z1" s="11" t="s">
        <v>165</v>
      </c>
      <c r="AA1" s="11" t="s">
        <v>166</v>
      </c>
      <c r="AB1" s="11" t="s">
        <v>167</v>
      </c>
      <c r="AC1" s="11" t="s">
        <v>168</v>
      </c>
      <c r="AD1" s="11" t="s">
        <v>169</v>
      </c>
      <c r="AE1" s="11" t="s">
        <v>170</v>
      </c>
      <c r="AF1" s="11" t="s">
        <v>171</v>
      </c>
      <c r="AG1" s="11" t="s">
        <v>172</v>
      </c>
      <c r="AH1" s="27" t="s">
        <v>47</v>
      </c>
      <c r="AI1" s="27" t="s">
        <v>38</v>
      </c>
      <c r="AJ1" s="27" t="s">
        <v>39</v>
      </c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I1" s="16"/>
      <c r="BJ1" s="16"/>
      <c r="BK1" s="16"/>
      <c r="BL1" s="16"/>
      <c r="BM1" s="16"/>
      <c r="BN1" s="16"/>
    </row>
    <row r="2" spans="1:66" x14ac:dyDescent="0.3">
      <c r="A2" s="27" t="s">
        <v>48</v>
      </c>
      <c r="B2" s="6">
        <f>(Dados!D4)</f>
        <v>42.5</v>
      </c>
      <c r="C2" s="6">
        <f>(Dados!D5)</f>
        <v>45</v>
      </c>
      <c r="D2" s="6">
        <f>(Dados!D6)</f>
        <v>47.5</v>
      </c>
      <c r="E2" s="6">
        <f>(Dados!D7)</f>
        <v>50</v>
      </c>
      <c r="F2" s="6">
        <f>(Dados!F4)</f>
        <v>46.750000000000007</v>
      </c>
      <c r="G2" s="6">
        <f>(Dados!F5)</f>
        <v>49.500000000000007</v>
      </c>
      <c r="H2" s="6">
        <f>(Dados!F6)</f>
        <v>52.250000000000007</v>
      </c>
      <c r="I2" s="6">
        <f>(Dados!F7)</f>
        <v>55.000000000000007</v>
      </c>
      <c r="J2" s="6">
        <f>Dados!C11</f>
        <v>0.1</v>
      </c>
      <c r="K2" s="6">
        <f>Dados!D11</f>
        <v>0.6</v>
      </c>
      <c r="L2" s="6">
        <f>Dados!E11</f>
        <v>0.25</v>
      </c>
      <c r="M2" s="6">
        <f>Dados!F11</f>
        <v>0.8</v>
      </c>
      <c r="N2" s="6">
        <f>Dados!G11</f>
        <v>1.2</v>
      </c>
      <c r="O2" s="6">
        <f>Dados!H11</f>
        <v>0.55000000000000004</v>
      </c>
      <c r="P2" s="6">
        <f>Dados!C12</f>
        <v>0.5</v>
      </c>
      <c r="Q2" s="6">
        <f>Dados!D12</f>
        <v>0.8</v>
      </c>
      <c r="R2" s="6">
        <f>Dados!E12</f>
        <v>0.05</v>
      </c>
      <c r="S2" s="6">
        <f>Dados!F12</f>
        <v>0.2</v>
      </c>
      <c r="T2" s="6">
        <f>Dados!G12</f>
        <v>0.5</v>
      </c>
      <c r="U2" s="6">
        <f>Dados!H12</f>
        <v>0.75</v>
      </c>
      <c r="V2" s="6">
        <f>Dados!C13</f>
        <v>0.4</v>
      </c>
      <c r="W2" s="6">
        <f>Dados!D13</f>
        <v>0.5</v>
      </c>
      <c r="X2" s="6">
        <f>Dados!E13</f>
        <v>0.7</v>
      </c>
      <c r="Y2" s="6">
        <f>Dados!F13</f>
        <v>0.45</v>
      </c>
      <c r="Z2" s="6">
        <f>Dados!G13</f>
        <v>1</v>
      </c>
      <c r="AA2" s="6">
        <f>Dados!H13</f>
        <v>0.2</v>
      </c>
      <c r="AB2" s="6">
        <f>Dados!C14</f>
        <v>0.7</v>
      </c>
      <c r="AC2" s="6">
        <f>Dados!D14</f>
        <v>0.75</v>
      </c>
      <c r="AD2" s="6">
        <f>Dados!E14</f>
        <v>0.5</v>
      </c>
      <c r="AE2" s="6">
        <f>Dados!F14</f>
        <v>0.85</v>
      </c>
      <c r="AF2" s="6">
        <f>Dados!G14</f>
        <v>0.6</v>
      </c>
      <c r="AG2" s="6">
        <f>Dados!H14</f>
        <v>0.9</v>
      </c>
      <c r="AH2" s="7"/>
      <c r="AI2" s="7"/>
      <c r="AJ2" s="31">
        <f>+SUMPRODUCT(B3:AG3,$B$2:$AG$2)</f>
        <v>20630551.649999999</v>
      </c>
      <c r="AK2" s="8"/>
      <c r="AL2" s="8" t="s">
        <v>49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I2" s="1"/>
    </row>
    <row r="3" spans="1:66" x14ac:dyDescent="0.3">
      <c r="A3" s="27" t="s">
        <v>221</v>
      </c>
      <c r="B3" s="31">
        <v>200000</v>
      </c>
      <c r="C3" s="31">
        <v>50000</v>
      </c>
      <c r="D3" s="31">
        <v>125000</v>
      </c>
      <c r="E3" s="31">
        <v>10000</v>
      </c>
      <c r="F3" s="31">
        <v>60000</v>
      </c>
      <c r="G3" s="31">
        <v>10743</v>
      </c>
      <c r="H3" s="31">
        <v>0</v>
      </c>
      <c r="I3" s="31">
        <v>0</v>
      </c>
      <c r="J3" s="31">
        <v>245000</v>
      </c>
      <c r="K3" s="31">
        <v>15000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55743</v>
      </c>
      <c r="S3" s="31">
        <v>0</v>
      </c>
      <c r="T3" s="31">
        <v>5000</v>
      </c>
      <c r="U3" s="31">
        <v>0</v>
      </c>
      <c r="V3" s="31">
        <v>0</v>
      </c>
      <c r="W3" s="31">
        <v>15000</v>
      </c>
      <c r="X3" s="31">
        <v>2644</v>
      </c>
      <c r="Y3" s="31">
        <v>48656</v>
      </c>
      <c r="Z3" s="31">
        <v>20000</v>
      </c>
      <c r="AA3" s="31">
        <v>38700</v>
      </c>
      <c r="AB3" s="31">
        <v>0</v>
      </c>
      <c r="AC3" s="31">
        <v>0</v>
      </c>
      <c r="AD3" s="31">
        <v>0</v>
      </c>
      <c r="AE3" s="31">
        <v>10000</v>
      </c>
      <c r="AF3" s="31">
        <v>0</v>
      </c>
      <c r="AG3" s="31">
        <v>0</v>
      </c>
      <c r="AH3" s="7"/>
      <c r="AI3" s="7"/>
      <c r="AJ3" s="7"/>
      <c r="AK3" s="1"/>
      <c r="AL3" s="8" t="s">
        <v>36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I3" s="1"/>
    </row>
    <row r="4" spans="1:66" ht="15.6" x14ac:dyDescent="0.35">
      <c r="A4" s="18" t="s">
        <v>197</v>
      </c>
      <c r="B4" s="1">
        <v>1</v>
      </c>
      <c r="E4" s="29"/>
      <c r="I4" s="29"/>
      <c r="O4" s="29"/>
      <c r="U4" s="29"/>
      <c r="AA4" s="29"/>
      <c r="AH4" s="7">
        <f>+SUMPRODUCT(B4:AG4,$B$3:$AG$3)</f>
        <v>200000</v>
      </c>
      <c r="AI4" s="7" t="s">
        <v>41</v>
      </c>
      <c r="AJ4" s="9">
        <f>'Variáveis e Restrições'!H6</f>
        <v>200000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I4" s="1"/>
    </row>
    <row r="5" spans="1:66" ht="15.6" x14ac:dyDescent="0.35">
      <c r="A5" s="18" t="s">
        <v>198</v>
      </c>
      <c r="C5" s="1">
        <v>1</v>
      </c>
      <c r="E5" s="34"/>
      <c r="I5" s="34"/>
      <c r="O5" s="34"/>
      <c r="U5" s="34"/>
      <c r="AA5" s="34"/>
      <c r="AH5" s="7">
        <f t="shared" ref="AH5:AH27" si="0">+SUMPRODUCT(B5:AG5,$B$3:$AG$3)</f>
        <v>50000</v>
      </c>
      <c r="AI5" s="7" t="s">
        <v>41</v>
      </c>
      <c r="AJ5" s="9">
        <f>'Variáveis e Restrições'!H7</f>
        <v>50000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I5" s="1"/>
    </row>
    <row r="6" spans="1:66" ht="15.6" x14ac:dyDescent="0.35">
      <c r="A6" s="18" t="s">
        <v>199</v>
      </c>
      <c r="D6" s="1">
        <v>1</v>
      </c>
      <c r="E6" s="34"/>
      <c r="I6" s="34"/>
      <c r="O6" s="34"/>
      <c r="U6" s="34"/>
      <c r="AA6" s="34"/>
      <c r="AH6" s="7">
        <f t="shared" si="0"/>
        <v>125000</v>
      </c>
      <c r="AI6" s="7" t="s">
        <v>41</v>
      </c>
      <c r="AJ6" s="9">
        <f>'Variáveis e Restrições'!H8</f>
        <v>125000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I6" s="1"/>
    </row>
    <row r="7" spans="1:66" ht="15.6" x14ac:dyDescent="0.35">
      <c r="A7" s="18" t="s">
        <v>200</v>
      </c>
      <c r="E7" s="34">
        <v>1</v>
      </c>
      <c r="I7" s="34"/>
      <c r="O7" s="34"/>
      <c r="U7" s="34"/>
      <c r="AA7" s="34"/>
      <c r="AH7" s="7">
        <f t="shared" si="0"/>
        <v>10000</v>
      </c>
      <c r="AI7" s="7" t="s">
        <v>41</v>
      </c>
      <c r="AJ7" s="9">
        <f>'Variáveis e Restrições'!H9</f>
        <v>33500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I7" s="1"/>
    </row>
    <row r="8" spans="1:66" ht="15.6" x14ac:dyDescent="0.35">
      <c r="A8" s="18" t="s">
        <v>201</v>
      </c>
      <c r="E8" s="34"/>
      <c r="F8" s="1">
        <v>1</v>
      </c>
      <c r="I8" s="34"/>
      <c r="O8" s="34"/>
      <c r="U8" s="34"/>
      <c r="AA8" s="34"/>
      <c r="AH8" s="7">
        <f t="shared" si="0"/>
        <v>60000</v>
      </c>
      <c r="AI8" s="7" t="s">
        <v>41</v>
      </c>
      <c r="AJ8" s="9">
        <f>'Variáveis e Restrições'!H10</f>
        <v>60000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I8" s="1"/>
    </row>
    <row r="9" spans="1:66" ht="15.6" x14ac:dyDescent="0.35">
      <c r="A9" s="18" t="s">
        <v>202</v>
      </c>
      <c r="E9" s="34"/>
      <c r="G9" s="1">
        <v>1</v>
      </c>
      <c r="I9" s="34"/>
      <c r="O9" s="34"/>
      <c r="U9" s="34"/>
      <c r="AA9" s="34"/>
      <c r="AH9" s="7">
        <f t="shared" si="0"/>
        <v>10743</v>
      </c>
      <c r="AI9" s="7" t="s">
        <v>41</v>
      </c>
      <c r="AJ9" s="9">
        <f>'Variáveis e Restrições'!H11</f>
        <v>15000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I9" s="1"/>
    </row>
    <row r="10" spans="1:66" ht="15.6" x14ac:dyDescent="0.35">
      <c r="A10" s="18" t="s">
        <v>203</v>
      </c>
      <c r="E10" s="34"/>
      <c r="H10" s="1">
        <v>1</v>
      </c>
      <c r="I10" s="34"/>
      <c r="O10" s="34"/>
      <c r="U10" s="34"/>
      <c r="AA10" s="34"/>
      <c r="AH10" s="7">
        <f t="shared" si="0"/>
        <v>0</v>
      </c>
      <c r="AI10" s="7" t="s">
        <v>41</v>
      </c>
      <c r="AJ10" s="9">
        <f>'Variáveis e Restrições'!H12</f>
        <v>37500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I10" s="1"/>
    </row>
    <row r="11" spans="1:66" ht="15.6" x14ac:dyDescent="0.35">
      <c r="A11" s="18" t="s">
        <v>204</v>
      </c>
      <c r="B11" s="32"/>
      <c r="C11" s="33"/>
      <c r="D11" s="33"/>
      <c r="E11" s="30"/>
      <c r="F11" s="33"/>
      <c r="G11" s="33"/>
      <c r="H11" s="33"/>
      <c r="I11" s="30">
        <v>1</v>
      </c>
      <c r="J11" s="33"/>
      <c r="K11" s="33"/>
      <c r="L11" s="33"/>
      <c r="M11" s="33"/>
      <c r="N11" s="33"/>
      <c r="O11" s="30"/>
      <c r="P11" s="33"/>
      <c r="Q11" s="33"/>
      <c r="R11" s="33"/>
      <c r="S11" s="33"/>
      <c r="T11" s="33"/>
      <c r="U11" s="30"/>
      <c r="V11" s="33"/>
      <c r="W11" s="33"/>
      <c r="X11" s="33"/>
      <c r="Y11" s="33"/>
      <c r="Z11" s="33"/>
      <c r="AA11" s="30"/>
      <c r="AB11" s="33"/>
      <c r="AC11" s="33"/>
      <c r="AD11" s="33"/>
      <c r="AE11" s="33"/>
      <c r="AF11" s="33"/>
      <c r="AG11" s="30"/>
      <c r="AH11" s="7">
        <f t="shared" si="0"/>
        <v>0</v>
      </c>
      <c r="AI11" s="7" t="s">
        <v>41</v>
      </c>
      <c r="AJ11" s="9">
        <f>'Variáveis e Restrições'!H13</f>
        <v>10050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I11" s="1"/>
    </row>
    <row r="12" spans="1:66" ht="15.6" x14ac:dyDescent="0.35">
      <c r="A12" s="28" t="s">
        <v>205</v>
      </c>
      <c r="E12" s="34"/>
      <c r="I12" s="34"/>
      <c r="J12" s="1">
        <v>1</v>
      </c>
      <c r="O12" s="34"/>
      <c r="P12" s="1">
        <v>1</v>
      </c>
      <c r="U12" s="34"/>
      <c r="V12" s="1">
        <v>1</v>
      </c>
      <c r="AA12" s="34"/>
      <c r="AB12" s="1">
        <v>1</v>
      </c>
      <c r="AH12" s="7">
        <f t="shared" si="0"/>
        <v>245000</v>
      </c>
      <c r="AI12" s="7" t="s">
        <v>31</v>
      </c>
      <c r="AJ12" s="15">
        <f>'Variáveis e Restrições'!L17</f>
        <v>245000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I12" s="1"/>
    </row>
    <row r="13" spans="1:66" ht="15.6" x14ac:dyDescent="0.35">
      <c r="A13" s="28" t="s">
        <v>206</v>
      </c>
      <c r="E13" s="34"/>
      <c r="I13" s="34"/>
      <c r="K13" s="1">
        <v>1</v>
      </c>
      <c r="O13" s="34"/>
      <c r="Q13" s="1">
        <v>1</v>
      </c>
      <c r="U13" s="34"/>
      <c r="W13" s="1">
        <v>1</v>
      </c>
      <c r="AA13" s="34"/>
      <c r="AC13" s="1">
        <v>1</v>
      </c>
      <c r="AH13" s="7">
        <f t="shared" si="0"/>
        <v>30000</v>
      </c>
      <c r="AI13" s="7" t="s">
        <v>31</v>
      </c>
      <c r="AJ13" s="15">
        <f>'Variáveis e Restrições'!L18</f>
        <v>30000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I13" s="1"/>
    </row>
    <row r="14" spans="1:66" ht="15.6" x14ac:dyDescent="0.35">
      <c r="A14" s="28" t="s">
        <v>207</v>
      </c>
      <c r="E14" s="34"/>
      <c r="I14" s="34"/>
      <c r="L14" s="1">
        <v>1</v>
      </c>
      <c r="O14" s="34"/>
      <c r="R14" s="1">
        <v>1</v>
      </c>
      <c r="U14" s="34"/>
      <c r="X14" s="1">
        <v>1</v>
      </c>
      <c r="AA14" s="34"/>
      <c r="AD14" s="1">
        <v>1</v>
      </c>
      <c r="AH14" s="7">
        <f t="shared" si="0"/>
        <v>58387</v>
      </c>
      <c r="AI14" s="7" t="s">
        <v>31</v>
      </c>
      <c r="AJ14" s="15">
        <f>'Variáveis e Restrições'!L19</f>
        <v>58387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I14" s="1"/>
    </row>
    <row r="15" spans="1:66" ht="15.6" x14ac:dyDescent="0.35">
      <c r="A15" s="28" t="s">
        <v>208</v>
      </c>
      <c r="E15" s="34"/>
      <c r="I15" s="34"/>
      <c r="M15" s="1">
        <v>1</v>
      </c>
      <c r="O15" s="34"/>
      <c r="S15" s="1">
        <v>1</v>
      </c>
      <c r="U15" s="34"/>
      <c r="Y15" s="1">
        <v>1</v>
      </c>
      <c r="AA15" s="34"/>
      <c r="AE15" s="1">
        <v>1</v>
      </c>
      <c r="AH15" s="7">
        <f t="shared" si="0"/>
        <v>58656</v>
      </c>
      <c r="AI15" s="7" t="s">
        <v>31</v>
      </c>
      <c r="AJ15" s="15">
        <f>'Variáveis e Restrições'!L20</f>
        <v>58656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I15" s="1"/>
    </row>
    <row r="16" spans="1:66" ht="15.6" x14ac:dyDescent="0.35">
      <c r="A16" s="28" t="s">
        <v>209</v>
      </c>
      <c r="E16" s="34"/>
      <c r="I16" s="34"/>
      <c r="N16" s="1">
        <v>1</v>
      </c>
      <c r="O16" s="34"/>
      <c r="T16" s="1">
        <v>1</v>
      </c>
      <c r="U16" s="34"/>
      <c r="Z16" s="1">
        <v>1</v>
      </c>
      <c r="AA16" s="34"/>
      <c r="AF16" s="1">
        <v>1</v>
      </c>
      <c r="AH16" s="7">
        <f t="shared" si="0"/>
        <v>25000</v>
      </c>
      <c r="AI16" s="7" t="s">
        <v>31</v>
      </c>
      <c r="AJ16" s="15">
        <f>'Variáveis e Restrições'!L21</f>
        <v>25000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I16" s="1"/>
    </row>
    <row r="17" spans="1:61" ht="15.6" x14ac:dyDescent="0.35">
      <c r="A17" s="28" t="s">
        <v>210</v>
      </c>
      <c r="B17" s="32"/>
      <c r="C17" s="33"/>
      <c r="D17" s="33"/>
      <c r="E17" s="30"/>
      <c r="F17" s="33"/>
      <c r="G17" s="33"/>
      <c r="H17" s="33"/>
      <c r="I17" s="30"/>
      <c r="J17" s="33"/>
      <c r="K17" s="33"/>
      <c r="L17" s="33"/>
      <c r="M17" s="33"/>
      <c r="N17" s="33"/>
      <c r="O17" s="30">
        <v>1</v>
      </c>
      <c r="P17" s="33"/>
      <c r="Q17" s="33"/>
      <c r="R17" s="33"/>
      <c r="S17" s="33"/>
      <c r="T17" s="33"/>
      <c r="U17" s="30">
        <v>1</v>
      </c>
      <c r="V17" s="33"/>
      <c r="W17" s="33"/>
      <c r="X17" s="33"/>
      <c r="Y17" s="33"/>
      <c r="Z17" s="33"/>
      <c r="AA17" s="30">
        <v>1</v>
      </c>
      <c r="AB17" s="33"/>
      <c r="AC17" s="33"/>
      <c r="AD17" s="33"/>
      <c r="AE17" s="33"/>
      <c r="AF17" s="33"/>
      <c r="AG17" s="30">
        <v>1</v>
      </c>
      <c r="AH17" s="7">
        <f t="shared" si="0"/>
        <v>38700</v>
      </c>
      <c r="AI17" s="7" t="s">
        <v>31</v>
      </c>
      <c r="AJ17" s="15">
        <f>'Variáveis e Restrições'!L22</f>
        <v>38700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I17" s="1"/>
    </row>
    <row r="18" spans="1:61" ht="15.6" x14ac:dyDescent="0.35">
      <c r="A18" s="25" t="s">
        <v>211</v>
      </c>
      <c r="C18" s="1">
        <v>1</v>
      </c>
      <c r="E18" s="34"/>
      <c r="G18" s="1">
        <v>1</v>
      </c>
      <c r="I18" s="34"/>
      <c r="O18" s="34"/>
      <c r="U18" s="34"/>
      <c r="AA18" s="34"/>
      <c r="AH18" s="7">
        <f t="shared" si="0"/>
        <v>60743</v>
      </c>
      <c r="AI18" s="7" t="s">
        <v>31</v>
      </c>
      <c r="AJ18" s="35">
        <f>'Variáveis e Restrições'!F26</f>
        <v>5000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I18" s="1"/>
    </row>
    <row r="19" spans="1:61" ht="15.6" x14ac:dyDescent="0.35">
      <c r="A19" s="25" t="s">
        <v>212</v>
      </c>
      <c r="E19" s="34"/>
      <c r="I19" s="34"/>
      <c r="O19" s="34"/>
      <c r="T19" s="1">
        <v>1</v>
      </c>
      <c r="U19" s="34"/>
      <c r="AA19" s="34"/>
      <c r="AH19" s="7">
        <f t="shared" si="0"/>
        <v>5000</v>
      </c>
      <c r="AI19" s="7" t="s">
        <v>31</v>
      </c>
      <c r="AJ19" s="35">
        <f>'Variáveis e Restrições'!F27</f>
        <v>5000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I19" s="1"/>
    </row>
    <row r="20" spans="1:61" ht="15.6" x14ac:dyDescent="0.35">
      <c r="A20" s="25" t="s">
        <v>213</v>
      </c>
      <c r="E20" s="34"/>
      <c r="I20" s="34"/>
      <c r="L20" s="1">
        <v>-1</v>
      </c>
      <c r="O20" s="34"/>
      <c r="Q20" s="1">
        <v>1</v>
      </c>
      <c r="U20" s="34"/>
      <c r="AA20" s="34"/>
      <c r="AH20" s="7">
        <f t="shared" si="0"/>
        <v>0</v>
      </c>
      <c r="AI20" s="7" t="s">
        <v>32</v>
      </c>
      <c r="AJ20" s="35"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I20" s="1"/>
    </row>
    <row r="21" spans="1:61" ht="15.6" x14ac:dyDescent="0.35">
      <c r="A21" s="25" t="s">
        <v>214</v>
      </c>
      <c r="B21" s="1">
        <v>1</v>
      </c>
      <c r="E21" s="34"/>
      <c r="F21" s="1">
        <v>1</v>
      </c>
      <c r="I21" s="34"/>
      <c r="O21" s="34"/>
      <c r="U21" s="34"/>
      <c r="AA21" s="34"/>
      <c r="AH21" s="7">
        <f t="shared" si="0"/>
        <v>260000</v>
      </c>
      <c r="AI21" s="7" t="s">
        <v>31</v>
      </c>
      <c r="AJ21" s="36">
        <f>'Variáveis e Restrições'!F29</f>
        <v>175000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I21" s="1"/>
    </row>
    <row r="22" spans="1:61" ht="15.6" x14ac:dyDescent="0.35">
      <c r="A22" s="25" t="s">
        <v>215</v>
      </c>
      <c r="E22" s="34">
        <v>1</v>
      </c>
      <c r="I22" s="34">
        <v>1</v>
      </c>
      <c r="O22" s="34"/>
      <c r="U22" s="34"/>
      <c r="AA22" s="34"/>
      <c r="AH22" s="7">
        <f t="shared" si="0"/>
        <v>10000</v>
      </c>
      <c r="AI22" s="7" t="s">
        <v>31</v>
      </c>
      <c r="AJ22" s="35">
        <f>'Variáveis e Restrições'!F30</f>
        <v>10000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I22" s="1"/>
    </row>
    <row r="23" spans="1:61" ht="15.6" x14ac:dyDescent="0.35">
      <c r="A23" s="25" t="s">
        <v>216</v>
      </c>
      <c r="B23" s="32"/>
      <c r="C23" s="33"/>
      <c r="D23" s="33"/>
      <c r="E23" s="30"/>
      <c r="F23" s="33"/>
      <c r="G23" s="33"/>
      <c r="H23" s="33"/>
      <c r="I23" s="30"/>
      <c r="J23" s="33"/>
      <c r="K23" s="33"/>
      <c r="L23" s="33"/>
      <c r="M23" s="33"/>
      <c r="N23" s="33"/>
      <c r="O23" s="30"/>
      <c r="P23" s="33"/>
      <c r="Q23" s="33"/>
      <c r="R23" s="33"/>
      <c r="S23" s="33"/>
      <c r="T23" s="33"/>
      <c r="U23" s="30"/>
      <c r="V23" s="33"/>
      <c r="W23" s="33"/>
      <c r="X23" s="33"/>
      <c r="Y23" s="33"/>
      <c r="Z23" s="33"/>
      <c r="AA23" s="30"/>
      <c r="AB23" s="33"/>
      <c r="AC23" s="33"/>
      <c r="AD23" s="33"/>
      <c r="AE23" s="33">
        <v>1</v>
      </c>
      <c r="AF23" s="33"/>
      <c r="AG23" s="30"/>
      <c r="AH23" s="7">
        <f t="shared" si="0"/>
        <v>10000</v>
      </c>
      <c r="AI23" s="7" t="s">
        <v>31</v>
      </c>
      <c r="AJ23" s="35">
        <f>'Variáveis e Restrições'!F31</f>
        <v>10000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I23" s="1"/>
    </row>
    <row r="24" spans="1:61" ht="15.6" x14ac:dyDescent="0.35">
      <c r="A24" s="19" t="s">
        <v>217</v>
      </c>
      <c r="B24" s="1">
        <v>-1</v>
      </c>
      <c r="E24" s="34"/>
      <c r="F24" s="1">
        <v>-1</v>
      </c>
      <c r="I24" s="34"/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34">
        <v>1</v>
      </c>
      <c r="U24" s="34"/>
      <c r="AA24" s="34"/>
      <c r="AH24" s="7">
        <f t="shared" si="0"/>
        <v>0</v>
      </c>
      <c r="AI24" s="7" t="s">
        <v>32</v>
      </c>
      <c r="AJ24" s="13">
        <v>0</v>
      </c>
      <c r="AX24" s="1"/>
      <c r="AY24" s="1"/>
      <c r="AZ24" s="1"/>
      <c r="BA24" s="1"/>
      <c r="BI24" s="1"/>
    </row>
    <row r="25" spans="1:61" ht="15.6" x14ac:dyDescent="0.35">
      <c r="A25" s="19" t="s">
        <v>218</v>
      </c>
      <c r="C25" s="1">
        <v>-1</v>
      </c>
      <c r="E25" s="34"/>
      <c r="G25" s="1">
        <v>-1</v>
      </c>
      <c r="I25" s="34"/>
      <c r="O25" s="34"/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34">
        <v>1</v>
      </c>
      <c r="AA25" s="34"/>
      <c r="AH25" s="7">
        <f t="shared" si="0"/>
        <v>0</v>
      </c>
      <c r="AI25" s="7" t="s">
        <v>32</v>
      </c>
      <c r="AJ25" s="13">
        <v>0</v>
      </c>
      <c r="AX25" s="1"/>
      <c r="AY25" s="1"/>
      <c r="AZ25" s="1"/>
      <c r="BA25" s="1"/>
      <c r="BI25" s="1"/>
    </row>
    <row r="26" spans="1:61" ht="15.6" x14ac:dyDescent="0.35">
      <c r="A26" s="19" t="s">
        <v>219</v>
      </c>
      <c r="D26" s="1">
        <v>-1</v>
      </c>
      <c r="E26" s="34"/>
      <c r="H26" s="1">
        <v>-1</v>
      </c>
      <c r="I26" s="34"/>
      <c r="O26" s="34"/>
      <c r="U26" s="34"/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34">
        <v>1</v>
      </c>
      <c r="AH26" s="7">
        <f t="shared" si="0"/>
        <v>0</v>
      </c>
      <c r="AI26" s="7" t="s">
        <v>32</v>
      </c>
      <c r="AJ26" s="13">
        <v>0</v>
      </c>
      <c r="AZ26" s="1"/>
      <c r="BA26" s="1"/>
      <c r="BI26" s="1"/>
    </row>
    <row r="27" spans="1:61" ht="15.6" x14ac:dyDescent="0.35">
      <c r="A27" s="19" t="s">
        <v>220</v>
      </c>
      <c r="B27" s="32"/>
      <c r="C27" s="33"/>
      <c r="D27" s="33"/>
      <c r="E27" s="30">
        <v>-1</v>
      </c>
      <c r="F27" s="33"/>
      <c r="G27" s="33"/>
      <c r="H27" s="33"/>
      <c r="I27" s="30">
        <v>-1</v>
      </c>
      <c r="J27" s="33"/>
      <c r="K27" s="33"/>
      <c r="L27" s="33"/>
      <c r="M27" s="33"/>
      <c r="N27" s="33"/>
      <c r="O27" s="30"/>
      <c r="P27" s="33"/>
      <c r="Q27" s="33"/>
      <c r="R27" s="33"/>
      <c r="S27" s="33"/>
      <c r="T27" s="33"/>
      <c r="U27" s="30"/>
      <c r="V27" s="33"/>
      <c r="W27" s="33"/>
      <c r="X27" s="33"/>
      <c r="Y27" s="33"/>
      <c r="Z27" s="33"/>
      <c r="AA27" s="30"/>
      <c r="AB27" s="33">
        <v>1</v>
      </c>
      <c r="AC27" s="33">
        <v>1</v>
      </c>
      <c r="AD27" s="33">
        <v>1</v>
      </c>
      <c r="AE27" s="33">
        <v>1</v>
      </c>
      <c r="AF27" s="33">
        <v>1</v>
      </c>
      <c r="AG27" s="30">
        <v>1</v>
      </c>
      <c r="AH27" s="7">
        <f t="shared" si="0"/>
        <v>0</v>
      </c>
      <c r="AI27" s="7" t="s">
        <v>32</v>
      </c>
      <c r="AJ27" s="13">
        <v>0</v>
      </c>
      <c r="AZ27" s="1"/>
      <c r="BA27" s="1"/>
      <c r="BI27" s="1"/>
    </row>
    <row r="28" spans="1:61" x14ac:dyDescent="0.3">
      <c r="A28" s="12"/>
      <c r="AZ28" s="1"/>
      <c r="BA28" s="1"/>
      <c r="BB28" s="1"/>
      <c r="BC28" s="1"/>
      <c r="BD28" s="1"/>
      <c r="BE28" s="1"/>
    </row>
    <row r="29" spans="1:61" x14ac:dyDescent="0.3">
      <c r="A29" s="12"/>
    </row>
    <row r="30" spans="1:61" x14ac:dyDescent="0.3">
      <c r="A30" s="12"/>
    </row>
    <row r="31" spans="1:61" x14ac:dyDescent="0.3">
      <c r="A31" s="12"/>
    </row>
    <row r="32" spans="1:61" x14ac:dyDescent="0.3">
      <c r="A32" s="12"/>
    </row>
    <row r="33" spans="1:1" x14ac:dyDescent="0.3">
      <c r="A33" s="12"/>
    </row>
    <row r="34" spans="1:1" x14ac:dyDescent="0.3">
      <c r="A34" s="12"/>
    </row>
    <row r="35" spans="1:1" x14ac:dyDescent="0.3">
      <c r="A35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79DE-44ED-4940-AF52-C5703E6726A5}">
  <dimension ref="A1:G80"/>
  <sheetViews>
    <sheetView showGridLines="0" topLeftCell="A17" workbookViewId="0"/>
  </sheetViews>
  <sheetFormatPr defaultRowHeight="14.4" x14ac:dyDescent="0.3"/>
  <cols>
    <col min="1" max="1" width="2.33203125" customWidth="1"/>
    <col min="2" max="2" width="7.44140625" bestFit="1" customWidth="1"/>
    <col min="3" max="3" width="18.21875" bestFit="1" customWidth="1"/>
    <col min="4" max="4" width="13.5546875" bestFit="1" customWidth="1"/>
    <col min="5" max="5" width="15.33203125" bestFit="1" customWidth="1"/>
    <col min="6" max="6" width="13.5546875" bestFit="1" customWidth="1"/>
    <col min="7" max="7" width="7.6640625" bestFit="1" customWidth="1"/>
  </cols>
  <sheetData>
    <row r="1" spans="1:5" x14ac:dyDescent="0.3">
      <c r="A1" s="12" t="s">
        <v>50</v>
      </c>
    </row>
    <row r="2" spans="1:5" x14ac:dyDescent="0.3">
      <c r="A2" s="12" t="s">
        <v>222</v>
      </c>
    </row>
    <row r="3" spans="1:5" x14ac:dyDescent="0.3">
      <c r="A3" s="12" t="s">
        <v>223</v>
      </c>
    </row>
    <row r="4" spans="1:5" x14ac:dyDescent="0.3">
      <c r="A4" s="12" t="s">
        <v>51</v>
      </c>
    </row>
    <row r="5" spans="1:5" x14ac:dyDescent="0.3">
      <c r="A5" s="12" t="s">
        <v>52</v>
      </c>
    </row>
    <row r="6" spans="1:5" x14ac:dyDescent="0.3">
      <c r="A6" s="12"/>
      <c r="B6" t="s">
        <v>53</v>
      </c>
    </row>
    <row r="7" spans="1:5" x14ac:dyDescent="0.3">
      <c r="A7" s="12"/>
      <c r="B7" t="s">
        <v>224</v>
      </c>
    </row>
    <row r="8" spans="1:5" x14ac:dyDescent="0.3">
      <c r="A8" s="12"/>
      <c r="B8" t="s">
        <v>54</v>
      </c>
    </row>
    <row r="9" spans="1:5" x14ac:dyDescent="0.3">
      <c r="A9" s="12" t="s">
        <v>55</v>
      </c>
    </row>
    <row r="10" spans="1:5" x14ac:dyDescent="0.3">
      <c r="B10" t="s">
        <v>56</v>
      </c>
    </row>
    <row r="11" spans="1:5" x14ac:dyDescent="0.3">
      <c r="B11" t="s">
        <v>57</v>
      </c>
    </row>
    <row r="14" spans="1:5" ht="15" thickBot="1" x14ac:dyDescent="0.35">
      <c r="A14" t="s">
        <v>58</v>
      </c>
    </row>
    <row r="15" spans="1:5" ht="15" thickBot="1" x14ac:dyDescent="0.35">
      <c r="B15" s="39" t="s">
        <v>59</v>
      </c>
      <c r="C15" s="39" t="s">
        <v>60</v>
      </c>
      <c r="D15" s="39" t="s">
        <v>61</v>
      </c>
      <c r="E15" s="39" t="s">
        <v>62</v>
      </c>
    </row>
    <row r="16" spans="1:5" ht="15" thickBot="1" x14ac:dyDescent="0.35">
      <c r="B16" s="38" t="s">
        <v>225</v>
      </c>
      <c r="C16" s="38" t="s">
        <v>63</v>
      </c>
      <c r="D16" s="38">
        <v>20630551.649999999</v>
      </c>
      <c r="E16" s="38">
        <v>20630551.649999999</v>
      </c>
    </row>
    <row r="19" spans="1:6" ht="15" thickBot="1" x14ac:dyDescent="0.35">
      <c r="A19" t="s">
        <v>64</v>
      </c>
    </row>
    <row r="20" spans="1:6" ht="15" thickBot="1" x14ac:dyDescent="0.35">
      <c r="B20" s="39" t="s">
        <v>59</v>
      </c>
      <c r="C20" s="39" t="s">
        <v>60</v>
      </c>
      <c r="D20" s="39" t="s">
        <v>61</v>
      </c>
      <c r="E20" s="39" t="s">
        <v>62</v>
      </c>
      <c r="F20" s="39" t="s">
        <v>65</v>
      </c>
    </row>
    <row r="21" spans="1:6" x14ac:dyDescent="0.3">
      <c r="B21" s="40" t="s">
        <v>66</v>
      </c>
      <c r="C21" s="40" t="s">
        <v>226</v>
      </c>
      <c r="D21" s="40">
        <v>200000</v>
      </c>
      <c r="E21" s="40">
        <v>200000</v>
      </c>
      <c r="F21" s="40" t="s">
        <v>67</v>
      </c>
    </row>
    <row r="22" spans="1:6" x14ac:dyDescent="0.3">
      <c r="B22" s="40" t="s">
        <v>68</v>
      </c>
      <c r="C22" s="40" t="s">
        <v>227</v>
      </c>
      <c r="D22" s="40">
        <v>50000</v>
      </c>
      <c r="E22" s="40">
        <v>50000</v>
      </c>
      <c r="F22" s="40" t="s">
        <v>67</v>
      </c>
    </row>
    <row r="23" spans="1:6" x14ac:dyDescent="0.3">
      <c r="B23" s="40" t="s">
        <v>69</v>
      </c>
      <c r="C23" s="40" t="s">
        <v>228</v>
      </c>
      <c r="D23" s="40">
        <v>125000</v>
      </c>
      <c r="E23" s="40">
        <v>125000</v>
      </c>
      <c r="F23" s="40" t="s">
        <v>67</v>
      </c>
    </row>
    <row r="24" spans="1:6" x14ac:dyDescent="0.3">
      <c r="B24" s="40" t="s">
        <v>70</v>
      </c>
      <c r="C24" s="40" t="s">
        <v>229</v>
      </c>
      <c r="D24" s="40">
        <v>10000</v>
      </c>
      <c r="E24" s="40">
        <v>10000</v>
      </c>
      <c r="F24" s="40" t="s">
        <v>67</v>
      </c>
    </row>
    <row r="25" spans="1:6" x14ac:dyDescent="0.3">
      <c r="B25" s="40" t="s">
        <v>71</v>
      </c>
      <c r="C25" s="40" t="s">
        <v>230</v>
      </c>
      <c r="D25" s="40">
        <v>60000</v>
      </c>
      <c r="E25" s="40">
        <v>60000</v>
      </c>
      <c r="F25" s="40" t="s">
        <v>67</v>
      </c>
    </row>
    <row r="26" spans="1:6" x14ac:dyDescent="0.3">
      <c r="B26" s="40" t="s">
        <v>72</v>
      </c>
      <c r="C26" s="40" t="s">
        <v>231</v>
      </c>
      <c r="D26" s="40">
        <v>10743</v>
      </c>
      <c r="E26" s="40">
        <v>10743</v>
      </c>
      <c r="F26" s="40" t="s">
        <v>67</v>
      </c>
    </row>
    <row r="27" spans="1:6" x14ac:dyDescent="0.3">
      <c r="B27" s="40" t="s">
        <v>73</v>
      </c>
      <c r="C27" s="40" t="s">
        <v>232</v>
      </c>
      <c r="D27" s="40">
        <v>0</v>
      </c>
      <c r="E27" s="40">
        <v>0</v>
      </c>
      <c r="F27" s="40" t="s">
        <v>67</v>
      </c>
    </row>
    <row r="28" spans="1:6" x14ac:dyDescent="0.3">
      <c r="B28" s="40" t="s">
        <v>74</v>
      </c>
      <c r="C28" s="40" t="s">
        <v>233</v>
      </c>
      <c r="D28" s="40">
        <v>0</v>
      </c>
      <c r="E28" s="40">
        <v>0</v>
      </c>
      <c r="F28" s="40" t="s">
        <v>67</v>
      </c>
    </row>
    <row r="29" spans="1:6" x14ac:dyDescent="0.3">
      <c r="B29" s="40" t="s">
        <v>75</v>
      </c>
      <c r="C29" s="40" t="s">
        <v>234</v>
      </c>
      <c r="D29" s="40">
        <v>245000</v>
      </c>
      <c r="E29" s="40">
        <v>245000</v>
      </c>
      <c r="F29" s="40" t="s">
        <v>67</v>
      </c>
    </row>
    <row r="30" spans="1:6" x14ac:dyDescent="0.3">
      <c r="B30" s="40" t="s">
        <v>76</v>
      </c>
      <c r="C30" s="40" t="s">
        <v>235</v>
      </c>
      <c r="D30" s="40">
        <v>15000</v>
      </c>
      <c r="E30" s="40">
        <v>15000</v>
      </c>
      <c r="F30" s="40" t="s">
        <v>67</v>
      </c>
    </row>
    <row r="31" spans="1:6" x14ac:dyDescent="0.3">
      <c r="B31" s="40" t="s">
        <v>77</v>
      </c>
      <c r="C31" s="40" t="s">
        <v>236</v>
      </c>
      <c r="D31" s="40">
        <v>0</v>
      </c>
      <c r="E31" s="40">
        <v>0</v>
      </c>
      <c r="F31" s="40" t="s">
        <v>67</v>
      </c>
    </row>
    <row r="32" spans="1:6" x14ac:dyDescent="0.3">
      <c r="B32" s="40" t="s">
        <v>78</v>
      </c>
      <c r="C32" s="40" t="s">
        <v>237</v>
      </c>
      <c r="D32" s="40">
        <v>0</v>
      </c>
      <c r="E32" s="40">
        <v>0</v>
      </c>
      <c r="F32" s="40" t="s">
        <v>67</v>
      </c>
    </row>
    <row r="33" spans="2:6" x14ac:dyDescent="0.3">
      <c r="B33" s="40" t="s">
        <v>79</v>
      </c>
      <c r="C33" s="40" t="s">
        <v>238</v>
      </c>
      <c r="D33" s="40">
        <v>0</v>
      </c>
      <c r="E33" s="40">
        <v>0</v>
      </c>
      <c r="F33" s="40" t="s">
        <v>67</v>
      </c>
    </row>
    <row r="34" spans="2:6" x14ac:dyDescent="0.3">
      <c r="B34" s="40" t="s">
        <v>80</v>
      </c>
      <c r="C34" s="40" t="s">
        <v>239</v>
      </c>
      <c r="D34" s="40">
        <v>0</v>
      </c>
      <c r="E34" s="40">
        <v>0</v>
      </c>
      <c r="F34" s="40" t="s">
        <v>67</v>
      </c>
    </row>
    <row r="35" spans="2:6" x14ac:dyDescent="0.3">
      <c r="B35" s="40" t="s">
        <v>81</v>
      </c>
      <c r="C35" s="40" t="s">
        <v>240</v>
      </c>
      <c r="D35" s="40">
        <v>0</v>
      </c>
      <c r="E35" s="40">
        <v>0</v>
      </c>
      <c r="F35" s="40" t="s">
        <v>67</v>
      </c>
    </row>
    <row r="36" spans="2:6" x14ac:dyDescent="0.3">
      <c r="B36" s="40" t="s">
        <v>82</v>
      </c>
      <c r="C36" s="40" t="s">
        <v>241</v>
      </c>
      <c r="D36" s="40">
        <v>0</v>
      </c>
      <c r="E36" s="40">
        <v>0</v>
      </c>
      <c r="F36" s="40" t="s">
        <v>67</v>
      </c>
    </row>
    <row r="37" spans="2:6" x14ac:dyDescent="0.3">
      <c r="B37" s="40" t="s">
        <v>83</v>
      </c>
      <c r="C37" s="40" t="s">
        <v>242</v>
      </c>
      <c r="D37" s="40">
        <v>55743</v>
      </c>
      <c r="E37" s="40">
        <v>55743</v>
      </c>
      <c r="F37" s="40" t="s">
        <v>67</v>
      </c>
    </row>
    <row r="38" spans="2:6" x14ac:dyDescent="0.3">
      <c r="B38" s="40" t="s">
        <v>84</v>
      </c>
      <c r="C38" s="40" t="s">
        <v>243</v>
      </c>
      <c r="D38" s="40">
        <v>0</v>
      </c>
      <c r="E38" s="40">
        <v>0</v>
      </c>
      <c r="F38" s="40" t="s">
        <v>67</v>
      </c>
    </row>
    <row r="39" spans="2:6" x14ac:dyDescent="0.3">
      <c r="B39" s="40" t="s">
        <v>85</v>
      </c>
      <c r="C39" s="40" t="s">
        <v>244</v>
      </c>
      <c r="D39" s="40">
        <v>5000</v>
      </c>
      <c r="E39" s="40">
        <v>5000</v>
      </c>
      <c r="F39" s="40" t="s">
        <v>67</v>
      </c>
    </row>
    <row r="40" spans="2:6" x14ac:dyDescent="0.3">
      <c r="B40" s="40" t="s">
        <v>86</v>
      </c>
      <c r="C40" s="40" t="s">
        <v>245</v>
      </c>
      <c r="D40" s="40">
        <v>0</v>
      </c>
      <c r="E40" s="40">
        <v>0</v>
      </c>
      <c r="F40" s="40" t="s">
        <v>67</v>
      </c>
    </row>
    <row r="41" spans="2:6" x14ac:dyDescent="0.3">
      <c r="B41" s="40" t="s">
        <v>87</v>
      </c>
      <c r="C41" s="40" t="s">
        <v>246</v>
      </c>
      <c r="D41" s="40">
        <v>0</v>
      </c>
      <c r="E41" s="40">
        <v>0</v>
      </c>
      <c r="F41" s="40" t="s">
        <v>67</v>
      </c>
    </row>
    <row r="42" spans="2:6" x14ac:dyDescent="0.3">
      <c r="B42" s="40" t="s">
        <v>88</v>
      </c>
      <c r="C42" s="40" t="s">
        <v>247</v>
      </c>
      <c r="D42" s="40">
        <v>15000</v>
      </c>
      <c r="E42" s="40">
        <v>15000</v>
      </c>
      <c r="F42" s="40" t="s">
        <v>67</v>
      </c>
    </row>
    <row r="43" spans="2:6" x14ac:dyDescent="0.3">
      <c r="B43" s="40" t="s">
        <v>89</v>
      </c>
      <c r="C43" s="40" t="s">
        <v>248</v>
      </c>
      <c r="D43" s="40">
        <v>2644</v>
      </c>
      <c r="E43" s="40">
        <v>2644</v>
      </c>
      <c r="F43" s="40" t="s">
        <v>67</v>
      </c>
    </row>
    <row r="44" spans="2:6" x14ac:dyDescent="0.3">
      <c r="B44" s="40" t="s">
        <v>90</v>
      </c>
      <c r="C44" s="40" t="s">
        <v>249</v>
      </c>
      <c r="D44" s="40">
        <v>48656</v>
      </c>
      <c r="E44" s="40">
        <v>48656</v>
      </c>
      <c r="F44" s="40" t="s">
        <v>67</v>
      </c>
    </row>
    <row r="45" spans="2:6" x14ac:dyDescent="0.3">
      <c r="B45" s="40" t="s">
        <v>91</v>
      </c>
      <c r="C45" s="40" t="s">
        <v>250</v>
      </c>
      <c r="D45" s="40">
        <v>20000</v>
      </c>
      <c r="E45" s="40">
        <v>20000</v>
      </c>
      <c r="F45" s="40" t="s">
        <v>67</v>
      </c>
    </row>
    <row r="46" spans="2:6" x14ac:dyDescent="0.3">
      <c r="B46" s="40" t="s">
        <v>92</v>
      </c>
      <c r="C46" s="40" t="s">
        <v>251</v>
      </c>
      <c r="D46" s="40">
        <v>38700</v>
      </c>
      <c r="E46" s="40">
        <v>38700</v>
      </c>
      <c r="F46" s="40" t="s">
        <v>67</v>
      </c>
    </row>
    <row r="47" spans="2:6" x14ac:dyDescent="0.3">
      <c r="B47" s="40" t="s">
        <v>93</v>
      </c>
      <c r="C47" s="40" t="s">
        <v>252</v>
      </c>
      <c r="D47" s="40">
        <v>0</v>
      </c>
      <c r="E47" s="40">
        <v>0</v>
      </c>
      <c r="F47" s="40" t="s">
        <v>67</v>
      </c>
    </row>
    <row r="48" spans="2:6" x14ac:dyDescent="0.3">
      <c r="B48" s="40" t="s">
        <v>94</v>
      </c>
      <c r="C48" s="40" t="s">
        <v>253</v>
      </c>
      <c r="D48" s="40">
        <v>0</v>
      </c>
      <c r="E48" s="40">
        <v>0</v>
      </c>
      <c r="F48" s="40" t="s">
        <v>67</v>
      </c>
    </row>
    <row r="49" spans="1:7" x14ac:dyDescent="0.3">
      <c r="B49" s="40" t="s">
        <v>95</v>
      </c>
      <c r="C49" s="40" t="s">
        <v>254</v>
      </c>
      <c r="D49" s="40">
        <v>0</v>
      </c>
      <c r="E49" s="40">
        <v>0</v>
      </c>
      <c r="F49" s="40" t="s">
        <v>67</v>
      </c>
    </row>
    <row r="50" spans="1:7" x14ac:dyDescent="0.3">
      <c r="B50" s="40" t="s">
        <v>96</v>
      </c>
      <c r="C50" s="40" t="s">
        <v>255</v>
      </c>
      <c r="D50" s="40">
        <v>10000</v>
      </c>
      <c r="E50" s="40">
        <v>10000</v>
      </c>
      <c r="F50" s="40" t="s">
        <v>67</v>
      </c>
    </row>
    <row r="51" spans="1:7" x14ac:dyDescent="0.3">
      <c r="B51" s="40" t="s">
        <v>97</v>
      </c>
      <c r="C51" s="40" t="s">
        <v>256</v>
      </c>
      <c r="D51" s="40">
        <v>0</v>
      </c>
      <c r="E51" s="40">
        <v>0</v>
      </c>
      <c r="F51" s="40" t="s">
        <v>67</v>
      </c>
    </row>
    <row r="52" spans="1:7" ht="15" thickBot="1" x14ac:dyDescent="0.35">
      <c r="B52" s="38" t="s">
        <v>98</v>
      </c>
      <c r="C52" s="38" t="s">
        <v>257</v>
      </c>
      <c r="D52" s="38">
        <v>0</v>
      </c>
      <c r="E52" s="38">
        <v>0</v>
      </c>
      <c r="F52" s="38" t="s">
        <v>67</v>
      </c>
    </row>
    <row r="55" spans="1:7" ht="15" thickBot="1" x14ac:dyDescent="0.35">
      <c r="A55" t="s">
        <v>99</v>
      </c>
    </row>
    <row r="56" spans="1:7" ht="15" thickBot="1" x14ac:dyDescent="0.35">
      <c r="B56" s="39" t="s">
        <v>59</v>
      </c>
      <c r="C56" s="39" t="s">
        <v>60</v>
      </c>
      <c r="D56" s="39" t="s">
        <v>100</v>
      </c>
      <c r="E56" s="39" t="s">
        <v>101</v>
      </c>
      <c r="F56" s="39" t="s">
        <v>102</v>
      </c>
      <c r="G56" s="39" t="s">
        <v>103</v>
      </c>
    </row>
    <row r="57" spans="1:7" x14ac:dyDescent="0.3">
      <c r="B57" s="40" t="s">
        <v>258</v>
      </c>
      <c r="C57" s="40" t="s">
        <v>104</v>
      </c>
      <c r="D57" s="40">
        <v>0</v>
      </c>
      <c r="E57" s="40" t="s">
        <v>259</v>
      </c>
      <c r="F57" s="40" t="s">
        <v>105</v>
      </c>
      <c r="G57" s="40">
        <v>37500</v>
      </c>
    </row>
    <row r="58" spans="1:7" x14ac:dyDescent="0.3">
      <c r="B58" s="40" t="s">
        <v>260</v>
      </c>
      <c r="C58" s="40" t="s">
        <v>106</v>
      </c>
      <c r="D58" s="40">
        <v>0</v>
      </c>
      <c r="E58" s="40" t="s">
        <v>261</v>
      </c>
      <c r="F58" s="40" t="s">
        <v>105</v>
      </c>
      <c r="G58" s="40">
        <v>10050</v>
      </c>
    </row>
    <row r="59" spans="1:7" x14ac:dyDescent="0.3">
      <c r="B59" s="40" t="s">
        <v>262</v>
      </c>
      <c r="C59" s="40" t="s">
        <v>107</v>
      </c>
      <c r="D59" s="40">
        <v>245000</v>
      </c>
      <c r="E59" s="40" t="s">
        <v>263</v>
      </c>
      <c r="F59" s="40" t="s">
        <v>108</v>
      </c>
      <c r="G59" s="40">
        <v>0</v>
      </c>
    </row>
    <row r="60" spans="1:7" x14ac:dyDescent="0.3">
      <c r="B60" s="40" t="s">
        <v>264</v>
      </c>
      <c r="C60" s="40" t="s">
        <v>109</v>
      </c>
      <c r="D60" s="40">
        <v>30000</v>
      </c>
      <c r="E60" s="40" t="s">
        <v>265</v>
      </c>
      <c r="F60" s="40" t="s">
        <v>108</v>
      </c>
      <c r="G60" s="40">
        <v>0</v>
      </c>
    </row>
    <row r="61" spans="1:7" x14ac:dyDescent="0.3">
      <c r="B61" s="40" t="s">
        <v>266</v>
      </c>
      <c r="C61" s="40" t="s">
        <v>110</v>
      </c>
      <c r="D61" s="40">
        <v>58387</v>
      </c>
      <c r="E61" s="40" t="s">
        <v>267</v>
      </c>
      <c r="F61" s="40" t="s">
        <v>108</v>
      </c>
      <c r="G61" s="40">
        <v>0</v>
      </c>
    </row>
    <row r="62" spans="1:7" x14ac:dyDescent="0.3">
      <c r="B62" s="40" t="s">
        <v>268</v>
      </c>
      <c r="C62" s="40" t="s">
        <v>111</v>
      </c>
      <c r="D62" s="40">
        <v>58656</v>
      </c>
      <c r="E62" s="40" t="s">
        <v>269</v>
      </c>
      <c r="F62" s="40" t="s">
        <v>108</v>
      </c>
      <c r="G62" s="40">
        <v>0</v>
      </c>
    </row>
    <row r="63" spans="1:7" x14ac:dyDescent="0.3">
      <c r="B63" s="40" t="s">
        <v>270</v>
      </c>
      <c r="C63" s="40" t="s">
        <v>112</v>
      </c>
      <c r="D63" s="40">
        <v>25000</v>
      </c>
      <c r="E63" s="40" t="s">
        <v>271</v>
      </c>
      <c r="F63" s="40" t="s">
        <v>108</v>
      </c>
      <c r="G63" s="40">
        <v>0</v>
      </c>
    </row>
    <row r="64" spans="1:7" x14ac:dyDescent="0.3">
      <c r="B64" s="40" t="s">
        <v>272</v>
      </c>
      <c r="C64" s="40" t="s">
        <v>113</v>
      </c>
      <c r="D64" s="40">
        <v>38700</v>
      </c>
      <c r="E64" s="40" t="s">
        <v>273</v>
      </c>
      <c r="F64" s="40" t="s">
        <v>108</v>
      </c>
      <c r="G64" s="40">
        <v>0</v>
      </c>
    </row>
    <row r="65" spans="2:7" x14ac:dyDescent="0.3">
      <c r="B65" s="40" t="s">
        <v>274</v>
      </c>
      <c r="C65" s="40" t="s">
        <v>114</v>
      </c>
      <c r="D65" s="40">
        <v>60743</v>
      </c>
      <c r="E65" s="40" t="s">
        <v>275</v>
      </c>
      <c r="F65" s="40" t="s">
        <v>105</v>
      </c>
      <c r="G65" s="40">
        <v>55743</v>
      </c>
    </row>
    <row r="66" spans="2:7" x14ac:dyDescent="0.3">
      <c r="B66" s="40" t="s">
        <v>276</v>
      </c>
      <c r="C66" s="40" t="s">
        <v>115</v>
      </c>
      <c r="D66" s="40">
        <v>5000</v>
      </c>
      <c r="E66" s="40" t="s">
        <v>277</v>
      </c>
      <c r="F66" s="40" t="s">
        <v>108</v>
      </c>
      <c r="G66" s="40">
        <v>0</v>
      </c>
    </row>
    <row r="67" spans="2:7" x14ac:dyDescent="0.3">
      <c r="B67" s="40" t="s">
        <v>278</v>
      </c>
      <c r="C67" s="40" t="s">
        <v>116</v>
      </c>
      <c r="D67" s="40">
        <v>0</v>
      </c>
      <c r="E67" s="40" t="s">
        <v>279</v>
      </c>
      <c r="F67" s="40" t="s">
        <v>108</v>
      </c>
      <c r="G67" s="40">
        <v>0</v>
      </c>
    </row>
    <row r="68" spans="2:7" x14ac:dyDescent="0.3">
      <c r="B68" s="40" t="s">
        <v>280</v>
      </c>
      <c r="C68" s="40" t="s">
        <v>117</v>
      </c>
      <c r="D68" s="40">
        <v>260000</v>
      </c>
      <c r="E68" s="40" t="s">
        <v>281</v>
      </c>
      <c r="F68" s="40" t="s">
        <v>105</v>
      </c>
      <c r="G68" s="40">
        <v>85000</v>
      </c>
    </row>
    <row r="69" spans="2:7" x14ac:dyDescent="0.3">
      <c r="B69" s="40" t="s">
        <v>282</v>
      </c>
      <c r="C69" s="40" t="s">
        <v>118</v>
      </c>
      <c r="D69" s="40">
        <v>10000</v>
      </c>
      <c r="E69" s="40" t="s">
        <v>283</v>
      </c>
      <c r="F69" s="40" t="s">
        <v>108</v>
      </c>
      <c r="G69" s="40">
        <v>0</v>
      </c>
    </row>
    <row r="70" spans="2:7" x14ac:dyDescent="0.3">
      <c r="B70" s="40" t="s">
        <v>284</v>
      </c>
      <c r="C70" s="40" t="s">
        <v>119</v>
      </c>
      <c r="D70" s="40">
        <v>10000</v>
      </c>
      <c r="E70" s="40" t="s">
        <v>285</v>
      </c>
      <c r="F70" s="40" t="s">
        <v>108</v>
      </c>
      <c r="G70" s="40">
        <v>0</v>
      </c>
    </row>
    <row r="71" spans="2:7" x14ac:dyDescent="0.3">
      <c r="B71" s="40" t="s">
        <v>286</v>
      </c>
      <c r="C71" s="40" t="s">
        <v>120</v>
      </c>
      <c r="D71" s="40">
        <v>0</v>
      </c>
      <c r="E71" s="40" t="s">
        <v>287</v>
      </c>
      <c r="F71" s="40" t="s">
        <v>108</v>
      </c>
      <c r="G71" s="40">
        <v>0</v>
      </c>
    </row>
    <row r="72" spans="2:7" x14ac:dyDescent="0.3">
      <c r="B72" s="40" t="s">
        <v>288</v>
      </c>
      <c r="C72" s="40" t="s">
        <v>121</v>
      </c>
      <c r="D72" s="40">
        <v>0</v>
      </c>
      <c r="E72" s="40" t="s">
        <v>289</v>
      </c>
      <c r="F72" s="40" t="s">
        <v>108</v>
      </c>
      <c r="G72" s="40">
        <v>0</v>
      </c>
    </row>
    <row r="73" spans="2:7" x14ac:dyDescent="0.3">
      <c r="B73" s="40" t="s">
        <v>290</v>
      </c>
      <c r="C73" s="40" t="s">
        <v>122</v>
      </c>
      <c r="D73" s="40">
        <v>0</v>
      </c>
      <c r="E73" s="40" t="s">
        <v>291</v>
      </c>
      <c r="F73" s="40" t="s">
        <v>108</v>
      </c>
      <c r="G73" s="40">
        <v>0</v>
      </c>
    </row>
    <row r="74" spans="2:7" x14ac:dyDescent="0.3">
      <c r="B74" s="40" t="s">
        <v>292</v>
      </c>
      <c r="C74" s="40" t="s">
        <v>123</v>
      </c>
      <c r="D74" s="40">
        <v>0</v>
      </c>
      <c r="E74" s="40" t="s">
        <v>293</v>
      </c>
      <c r="F74" s="40" t="s">
        <v>108</v>
      </c>
      <c r="G74" s="40">
        <v>0</v>
      </c>
    </row>
    <row r="75" spans="2:7" x14ac:dyDescent="0.3">
      <c r="B75" s="40" t="s">
        <v>294</v>
      </c>
      <c r="C75" s="40" t="s">
        <v>124</v>
      </c>
      <c r="D75" s="40">
        <v>200000</v>
      </c>
      <c r="E75" s="40" t="s">
        <v>295</v>
      </c>
      <c r="F75" s="40" t="s">
        <v>108</v>
      </c>
      <c r="G75" s="40">
        <v>0</v>
      </c>
    </row>
    <row r="76" spans="2:7" x14ac:dyDescent="0.3">
      <c r="B76" s="40" t="s">
        <v>296</v>
      </c>
      <c r="C76" s="40" t="s">
        <v>125</v>
      </c>
      <c r="D76" s="40">
        <v>50000</v>
      </c>
      <c r="E76" s="40" t="s">
        <v>297</v>
      </c>
      <c r="F76" s="40" t="s">
        <v>108</v>
      </c>
      <c r="G76" s="40">
        <v>0</v>
      </c>
    </row>
    <row r="77" spans="2:7" x14ac:dyDescent="0.3">
      <c r="B77" s="40" t="s">
        <v>298</v>
      </c>
      <c r="C77" s="40" t="s">
        <v>126</v>
      </c>
      <c r="D77" s="40">
        <v>125000</v>
      </c>
      <c r="E77" s="40" t="s">
        <v>299</v>
      </c>
      <c r="F77" s="40" t="s">
        <v>108</v>
      </c>
      <c r="G77" s="40">
        <v>0</v>
      </c>
    </row>
    <row r="78" spans="2:7" x14ac:dyDescent="0.3">
      <c r="B78" s="40" t="s">
        <v>300</v>
      </c>
      <c r="C78" s="40" t="s">
        <v>127</v>
      </c>
      <c r="D78" s="40">
        <v>10000</v>
      </c>
      <c r="E78" s="40" t="s">
        <v>301</v>
      </c>
      <c r="F78" s="40" t="s">
        <v>105</v>
      </c>
      <c r="G78" s="40">
        <v>23500</v>
      </c>
    </row>
    <row r="79" spans="2:7" x14ac:dyDescent="0.3">
      <c r="B79" s="40" t="s">
        <v>302</v>
      </c>
      <c r="C79" s="40" t="s">
        <v>128</v>
      </c>
      <c r="D79" s="40">
        <v>60000</v>
      </c>
      <c r="E79" s="40" t="s">
        <v>303</v>
      </c>
      <c r="F79" s="40" t="s">
        <v>108</v>
      </c>
      <c r="G79" s="40">
        <v>0</v>
      </c>
    </row>
    <row r="80" spans="2:7" ht="15" thickBot="1" x14ac:dyDescent="0.35">
      <c r="B80" s="38" t="s">
        <v>304</v>
      </c>
      <c r="C80" s="38" t="s">
        <v>129</v>
      </c>
      <c r="D80" s="38">
        <v>10743</v>
      </c>
      <c r="E80" s="38" t="s">
        <v>305</v>
      </c>
      <c r="F80" s="38" t="s">
        <v>105</v>
      </c>
      <c r="G80" s="38">
        <v>4257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B507-627A-4B72-80D7-2F570D430F7E}">
  <dimension ref="A1:H68"/>
  <sheetViews>
    <sheetView showGridLines="0" workbookViewId="0"/>
  </sheetViews>
  <sheetFormatPr defaultRowHeight="14.4" x14ac:dyDescent="0.3"/>
  <cols>
    <col min="1" max="1" width="2.33203125" customWidth="1"/>
    <col min="2" max="2" width="7.44140625" bestFit="1" customWidth="1"/>
    <col min="3" max="3" width="18.21875" bestFit="1" customWidth="1"/>
    <col min="4" max="4" width="7" bestFit="1" customWidth="1"/>
    <col min="5" max="5" width="8.77734375" bestFit="1" customWidth="1"/>
    <col min="6" max="6" width="11" bestFit="1" customWidth="1"/>
    <col min="7" max="8" width="10.77734375" bestFit="1" customWidth="1"/>
  </cols>
  <sheetData>
    <row r="1" spans="1:8" x14ac:dyDescent="0.3">
      <c r="A1" s="12" t="s">
        <v>130</v>
      </c>
    </row>
    <row r="2" spans="1:8" x14ac:dyDescent="0.3">
      <c r="A2" s="12" t="s">
        <v>222</v>
      </c>
    </row>
    <row r="3" spans="1:8" x14ac:dyDescent="0.3">
      <c r="A3" s="12" t="s">
        <v>306</v>
      </c>
    </row>
    <row r="6" spans="1:8" ht="15" thickBot="1" x14ac:dyDescent="0.35">
      <c r="A6" t="s">
        <v>64</v>
      </c>
    </row>
    <row r="7" spans="1:8" x14ac:dyDescent="0.3">
      <c r="B7" s="41"/>
      <c r="C7" s="41"/>
      <c r="D7" s="41" t="s">
        <v>131</v>
      </c>
      <c r="E7" s="41" t="s">
        <v>132</v>
      </c>
      <c r="F7" s="41" t="s">
        <v>133</v>
      </c>
      <c r="G7" s="41" t="s">
        <v>134</v>
      </c>
      <c r="H7" s="41" t="s">
        <v>134</v>
      </c>
    </row>
    <row r="8" spans="1:8" ht="15" thickBot="1" x14ac:dyDescent="0.35">
      <c r="B8" s="42" t="s">
        <v>59</v>
      </c>
      <c r="C8" s="42" t="s">
        <v>60</v>
      </c>
      <c r="D8" s="42" t="s">
        <v>135</v>
      </c>
      <c r="E8" s="42" t="s">
        <v>136</v>
      </c>
      <c r="F8" s="42" t="s">
        <v>137</v>
      </c>
      <c r="G8" s="42" t="s">
        <v>138</v>
      </c>
      <c r="H8" s="42" t="s">
        <v>139</v>
      </c>
    </row>
    <row r="9" spans="1:8" x14ac:dyDescent="0.3">
      <c r="B9" s="40" t="s">
        <v>66</v>
      </c>
      <c r="C9" s="40" t="s">
        <v>226</v>
      </c>
      <c r="D9" s="40">
        <v>200000</v>
      </c>
      <c r="E9" s="40">
        <v>0</v>
      </c>
      <c r="F9" s="40">
        <v>42.5</v>
      </c>
      <c r="G9" s="40">
        <v>6.25</v>
      </c>
      <c r="H9" s="40">
        <v>1E+30</v>
      </c>
    </row>
    <row r="10" spans="1:8" x14ac:dyDescent="0.3">
      <c r="B10" s="40" t="s">
        <v>68</v>
      </c>
      <c r="C10" s="40" t="s">
        <v>227</v>
      </c>
      <c r="D10" s="40">
        <v>50000</v>
      </c>
      <c r="E10" s="40">
        <v>0</v>
      </c>
      <c r="F10" s="40">
        <v>45</v>
      </c>
      <c r="G10" s="40">
        <v>4.5</v>
      </c>
      <c r="H10" s="40">
        <v>1E+30</v>
      </c>
    </row>
    <row r="11" spans="1:8" x14ac:dyDescent="0.3">
      <c r="B11" s="40" t="s">
        <v>69</v>
      </c>
      <c r="C11" s="40" t="s">
        <v>228</v>
      </c>
      <c r="D11" s="40">
        <v>125000</v>
      </c>
      <c r="E11" s="40">
        <v>0</v>
      </c>
      <c r="F11" s="40">
        <v>47.5</v>
      </c>
      <c r="G11" s="40">
        <v>1.3500000000000227</v>
      </c>
      <c r="H11" s="40">
        <v>1E+30</v>
      </c>
    </row>
    <row r="12" spans="1:8" x14ac:dyDescent="0.3">
      <c r="B12" s="40" t="s">
        <v>70</v>
      </c>
      <c r="C12" s="40" t="s">
        <v>229</v>
      </c>
      <c r="D12" s="40">
        <v>10000</v>
      </c>
      <c r="E12" s="40">
        <v>0</v>
      </c>
      <c r="F12" s="40">
        <v>50</v>
      </c>
      <c r="G12" s="40">
        <v>5</v>
      </c>
      <c r="H12" s="40">
        <v>0.75</v>
      </c>
    </row>
    <row r="13" spans="1:8" x14ac:dyDescent="0.3">
      <c r="B13" s="40" t="s">
        <v>71</v>
      </c>
      <c r="C13" s="40" t="s">
        <v>230</v>
      </c>
      <c r="D13" s="40">
        <v>60000</v>
      </c>
      <c r="E13" s="40">
        <v>0</v>
      </c>
      <c r="F13" s="40">
        <v>46.75</v>
      </c>
      <c r="G13" s="40">
        <v>2</v>
      </c>
      <c r="H13" s="40">
        <v>1E+30</v>
      </c>
    </row>
    <row r="14" spans="1:8" x14ac:dyDescent="0.3">
      <c r="B14" s="40" t="s">
        <v>72</v>
      </c>
      <c r="C14" s="40" t="s">
        <v>231</v>
      </c>
      <c r="D14" s="40">
        <v>10743</v>
      </c>
      <c r="E14" s="40">
        <v>0</v>
      </c>
      <c r="F14" s="40">
        <v>49.5</v>
      </c>
      <c r="G14" s="40">
        <v>0.75</v>
      </c>
      <c r="H14" s="40">
        <v>1.3500000000000227</v>
      </c>
    </row>
    <row r="15" spans="1:8" x14ac:dyDescent="0.3">
      <c r="B15" s="40" t="s">
        <v>73</v>
      </c>
      <c r="C15" s="40" t="s">
        <v>232</v>
      </c>
      <c r="D15" s="40">
        <v>0</v>
      </c>
      <c r="E15" s="40">
        <v>3.3999999999999773</v>
      </c>
      <c r="F15" s="40">
        <v>52.25</v>
      </c>
      <c r="G15" s="40">
        <v>1E+30</v>
      </c>
      <c r="H15" s="40">
        <v>3.3999999999999773</v>
      </c>
    </row>
    <row r="16" spans="1:8" x14ac:dyDescent="0.3">
      <c r="B16" s="40" t="s">
        <v>74</v>
      </c>
      <c r="C16" s="40" t="s">
        <v>233</v>
      </c>
      <c r="D16" s="40">
        <v>0</v>
      </c>
      <c r="E16" s="40">
        <v>5</v>
      </c>
      <c r="F16" s="40">
        <v>55</v>
      </c>
      <c r="G16" s="40">
        <v>1E+30</v>
      </c>
      <c r="H16" s="40">
        <v>5</v>
      </c>
    </row>
    <row r="17" spans="2:8" x14ac:dyDescent="0.3">
      <c r="B17" s="40" t="s">
        <v>75</v>
      </c>
      <c r="C17" s="40" t="s">
        <v>234</v>
      </c>
      <c r="D17" s="40">
        <v>245000</v>
      </c>
      <c r="E17" s="40">
        <v>0</v>
      </c>
      <c r="F17" s="40">
        <v>0.10000000000002274</v>
      </c>
      <c r="G17" s="40">
        <v>0.39999999999997726</v>
      </c>
      <c r="H17" s="40">
        <v>48.850000000000023</v>
      </c>
    </row>
    <row r="18" spans="2:8" x14ac:dyDescent="0.3">
      <c r="B18" s="40" t="s">
        <v>76</v>
      </c>
      <c r="C18" s="40" t="s">
        <v>235</v>
      </c>
      <c r="D18" s="40">
        <v>15000</v>
      </c>
      <c r="E18" s="40">
        <v>0</v>
      </c>
      <c r="F18" s="40">
        <v>0.60000000000002274</v>
      </c>
      <c r="G18" s="40">
        <v>9.9999999999965894E-2</v>
      </c>
      <c r="H18" s="40">
        <v>0.39999999999997726</v>
      </c>
    </row>
    <row r="19" spans="2:8" x14ac:dyDescent="0.3">
      <c r="B19" s="40" t="s">
        <v>77</v>
      </c>
      <c r="C19" s="40" t="s">
        <v>236</v>
      </c>
      <c r="D19" s="40">
        <v>0</v>
      </c>
      <c r="E19" s="40">
        <v>0</v>
      </c>
      <c r="F19" s="40">
        <v>0.25</v>
      </c>
      <c r="G19" s="40">
        <v>1E+30</v>
      </c>
      <c r="H19" s="40">
        <v>0.39999999999997726</v>
      </c>
    </row>
    <row r="20" spans="2:8" x14ac:dyDescent="0.3">
      <c r="B20" s="40" t="s">
        <v>78</v>
      </c>
      <c r="C20" s="40" t="s">
        <v>237</v>
      </c>
      <c r="D20" s="40">
        <v>0</v>
      </c>
      <c r="E20" s="40">
        <v>0.25</v>
      </c>
      <c r="F20" s="40">
        <v>0.80000000000001137</v>
      </c>
      <c r="G20" s="40">
        <v>1E+30</v>
      </c>
      <c r="H20" s="40">
        <v>0.25</v>
      </c>
    </row>
    <row r="21" spans="2:8" x14ac:dyDescent="0.3">
      <c r="B21" s="40" t="s">
        <v>79</v>
      </c>
      <c r="C21" s="40" t="s">
        <v>238</v>
      </c>
      <c r="D21" s="40">
        <v>0</v>
      </c>
      <c r="E21" s="40">
        <v>9.9999999999965894E-2</v>
      </c>
      <c r="F21" s="40">
        <v>1.1999999999999886</v>
      </c>
      <c r="G21" s="40">
        <v>1E+30</v>
      </c>
      <c r="H21" s="40">
        <v>9.9999999999965894E-2</v>
      </c>
    </row>
    <row r="22" spans="2:8" x14ac:dyDescent="0.3">
      <c r="B22" s="40" t="s">
        <v>80</v>
      </c>
      <c r="C22" s="40" t="s">
        <v>239</v>
      </c>
      <c r="D22" s="40">
        <v>0</v>
      </c>
      <c r="E22" s="40">
        <v>0.25</v>
      </c>
      <c r="F22" s="40">
        <v>0.55000000000001137</v>
      </c>
      <c r="G22" s="40">
        <v>1E+30</v>
      </c>
      <c r="H22" s="40">
        <v>0.25</v>
      </c>
    </row>
    <row r="23" spans="2:8" x14ac:dyDescent="0.3">
      <c r="B23" s="40" t="s">
        <v>81</v>
      </c>
      <c r="C23" s="40" t="s">
        <v>240</v>
      </c>
      <c r="D23" s="40">
        <v>0</v>
      </c>
      <c r="E23" s="40">
        <v>1.1499999999999773</v>
      </c>
      <c r="F23" s="40">
        <v>0.5</v>
      </c>
      <c r="G23" s="40">
        <v>1E+30</v>
      </c>
      <c r="H23" s="40">
        <v>1.1499999999999773</v>
      </c>
    </row>
    <row r="24" spans="2:8" x14ac:dyDescent="0.3">
      <c r="B24" s="40" t="s">
        <v>82</v>
      </c>
      <c r="C24" s="40" t="s">
        <v>241</v>
      </c>
      <c r="D24" s="40">
        <v>0</v>
      </c>
      <c r="E24" s="40">
        <v>0.39999999999997726</v>
      </c>
      <c r="F24" s="40">
        <v>0.80000000000001137</v>
      </c>
      <c r="G24" s="40">
        <v>1E+30</v>
      </c>
      <c r="H24" s="40">
        <v>0.39999999999997726</v>
      </c>
    </row>
    <row r="25" spans="2:8" x14ac:dyDescent="0.3">
      <c r="B25" s="40" t="s">
        <v>83</v>
      </c>
      <c r="C25" s="40" t="s">
        <v>242</v>
      </c>
      <c r="D25" s="40">
        <v>55743</v>
      </c>
      <c r="E25" s="40">
        <v>0</v>
      </c>
      <c r="F25" s="40">
        <v>5.0000000000011369E-2</v>
      </c>
      <c r="G25" s="40">
        <v>0.14999999999997726</v>
      </c>
      <c r="H25" s="40">
        <v>1.3500000000000227</v>
      </c>
    </row>
    <row r="26" spans="2:8" x14ac:dyDescent="0.3">
      <c r="B26" s="40" t="s">
        <v>84</v>
      </c>
      <c r="C26" s="40" t="s">
        <v>243</v>
      </c>
      <c r="D26" s="40">
        <v>0</v>
      </c>
      <c r="E26" s="40">
        <v>0.39999999999997726</v>
      </c>
      <c r="F26" s="40">
        <v>0.19999999999998863</v>
      </c>
      <c r="G26" s="40">
        <v>1E+30</v>
      </c>
      <c r="H26" s="40">
        <v>0.39999999999997726</v>
      </c>
    </row>
    <row r="27" spans="2:8" x14ac:dyDescent="0.3">
      <c r="B27" s="40" t="s">
        <v>85</v>
      </c>
      <c r="C27" s="40" t="s">
        <v>244</v>
      </c>
      <c r="D27" s="40">
        <v>5000</v>
      </c>
      <c r="E27" s="40">
        <v>0</v>
      </c>
      <c r="F27" s="40">
        <v>0.5</v>
      </c>
      <c r="G27" s="40">
        <v>1E+30</v>
      </c>
      <c r="H27" s="40">
        <v>0.14999999999997726</v>
      </c>
    </row>
    <row r="28" spans="2:8" x14ac:dyDescent="0.3">
      <c r="B28" s="40" t="s">
        <v>86</v>
      </c>
      <c r="C28" s="40" t="s">
        <v>245</v>
      </c>
      <c r="D28" s="40">
        <v>0</v>
      </c>
      <c r="E28" s="40">
        <v>1.1999999999999886</v>
      </c>
      <c r="F28" s="40">
        <v>0.75</v>
      </c>
      <c r="G28" s="40">
        <v>1E+30</v>
      </c>
      <c r="H28" s="40">
        <v>1.1999999999999886</v>
      </c>
    </row>
    <row r="29" spans="2:8" x14ac:dyDescent="0.3">
      <c r="B29" s="40" t="s">
        <v>87</v>
      </c>
      <c r="C29" s="40" t="s">
        <v>246</v>
      </c>
      <c r="D29" s="40">
        <v>0</v>
      </c>
      <c r="E29" s="40">
        <v>0.39999999999997726</v>
      </c>
      <c r="F29" s="40">
        <v>0.39999999999997726</v>
      </c>
      <c r="G29" s="40">
        <v>1E+30</v>
      </c>
      <c r="H29" s="40">
        <v>0.39999999999997726</v>
      </c>
    </row>
    <row r="30" spans="2:8" x14ac:dyDescent="0.3">
      <c r="B30" s="40" t="s">
        <v>88</v>
      </c>
      <c r="C30" s="40" t="s">
        <v>247</v>
      </c>
      <c r="D30" s="40">
        <v>15000</v>
      </c>
      <c r="E30" s="40">
        <v>0</v>
      </c>
      <c r="F30" s="40">
        <v>0.5</v>
      </c>
      <c r="G30" s="40">
        <v>0.39999999999997726</v>
      </c>
      <c r="H30" s="40">
        <v>9.9999999999965894E-2</v>
      </c>
    </row>
    <row r="31" spans="2:8" x14ac:dyDescent="0.3">
      <c r="B31" s="40" t="s">
        <v>89</v>
      </c>
      <c r="C31" s="40" t="s">
        <v>248</v>
      </c>
      <c r="D31" s="40">
        <v>2644</v>
      </c>
      <c r="E31" s="40">
        <v>0</v>
      </c>
      <c r="F31" s="40">
        <v>0.69999999999998863</v>
      </c>
      <c r="G31" s="40">
        <v>0.19999999999998863</v>
      </c>
      <c r="H31" s="40">
        <v>0.14999999999997726</v>
      </c>
    </row>
    <row r="32" spans="2:8" x14ac:dyDescent="0.3">
      <c r="B32" s="40" t="s">
        <v>90</v>
      </c>
      <c r="C32" s="40" t="s">
        <v>249</v>
      </c>
      <c r="D32" s="40">
        <v>48656</v>
      </c>
      <c r="E32" s="40">
        <v>0</v>
      </c>
      <c r="F32" s="40">
        <v>0.44999999999998863</v>
      </c>
      <c r="G32" s="40">
        <v>0.25</v>
      </c>
      <c r="H32" s="40">
        <v>49.300000000000011</v>
      </c>
    </row>
    <row r="33" spans="1:8" x14ac:dyDescent="0.3">
      <c r="B33" s="40" t="s">
        <v>91</v>
      </c>
      <c r="C33" s="40" t="s">
        <v>250</v>
      </c>
      <c r="D33" s="40">
        <v>20000</v>
      </c>
      <c r="E33" s="40">
        <v>0</v>
      </c>
      <c r="F33" s="40">
        <v>1</v>
      </c>
      <c r="G33" s="40">
        <v>9.9999999999965894E-2</v>
      </c>
      <c r="H33" s="40">
        <v>0.19999999999998863</v>
      </c>
    </row>
    <row r="34" spans="1:8" x14ac:dyDescent="0.3">
      <c r="B34" s="40" t="s">
        <v>92</v>
      </c>
      <c r="C34" s="40" t="s">
        <v>251</v>
      </c>
      <c r="D34" s="40">
        <v>38700</v>
      </c>
      <c r="E34" s="40">
        <v>0</v>
      </c>
      <c r="F34" s="40">
        <v>0.19999999999998863</v>
      </c>
      <c r="G34" s="40">
        <v>0.25</v>
      </c>
      <c r="H34" s="40">
        <v>49.050000000000011</v>
      </c>
    </row>
    <row r="35" spans="1:8" x14ac:dyDescent="0.3">
      <c r="B35" s="40" t="s">
        <v>93</v>
      </c>
      <c r="C35" s="40" t="s">
        <v>252</v>
      </c>
      <c r="D35" s="40">
        <v>0</v>
      </c>
      <c r="E35" s="40">
        <v>1.0999999999999659</v>
      </c>
      <c r="F35" s="40">
        <v>0.69999999999998863</v>
      </c>
      <c r="G35" s="40">
        <v>1E+30</v>
      </c>
      <c r="H35" s="40">
        <v>1.0999999999999659</v>
      </c>
    </row>
    <row r="36" spans="1:8" x14ac:dyDescent="0.3">
      <c r="B36" s="40" t="s">
        <v>94</v>
      </c>
      <c r="C36" s="40" t="s">
        <v>253</v>
      </c>
      <c r="D36" s="40">
        <v>0</v>
      </c>
      <c r="E36" s="40">
        <v>0.64999999999997726</v>
      </c>
      <c r="F36" s="40">
        <v>0.75</v>
      </c>
      <c r="G36" s="40">
        <v>1E+30</v>
      </c>
      <c r="H36" s="40">
        <v>0.64999999999997726</v>
      </c>
    </row>
    <row r="37" spans="1:8" x14ac:dyDescent="0.3">
      <c r="B37" s="40" t="s">
        <v>95</v>
      </c>
      <c r="C37" s="40" t="s">
        <v>254</v>
      </c>
      <c r="D37" s="40">
        <v>0</v>
      </c>
      <c r="E37" s="40">
        <v>0.19999999999998863</v>
      </c>
      <c r="F37" s="40">
        <v>0.5</v>
      </c>
      <c r="G37" s="40">
        <v>1E+30</v>
      </c>
      <c r="H37" s="40">
        <v>0.19999999999998863</v>
      </c>
    </row>
    <row r="38" spans="1:8" x14ac:dyDescent="0.3">
      <c r="B38" s="40" t="s">
        <v>96</v>
      </c>
      <c r="C38" s="40" t="s">
        <v>255</v>
      </c>
      <c r="D38" s="40">
        <v>10000</v>
      </c>
      <c r="E38" s="40">
        <v>0</v>
      </c>
      <c r="F38" s="40">
        <v>0.85000000000002274</v>
      </c>
      <c r="G38" s="40">
        <v>1E+30</v>
      </c>
      <c r="H38" s="40">
        <v>0.80000000000001137</v>
      </c>
    </row>
    <row r="39" spans="1:8" x14ac:dyDescent="0.3">
      <c r="B39" s="40" t="s">
        <v>97</v>
      </c>
      <c r="C39" s="40" t="s">
        <v>256</v>
      </c>
      <c r="D39" s="40">
        <v>0</v>
      </c>
      <c r="E39" s="40">
        <v>0</v>
      </c>
      <c r="F39" s="40">
        <v>0.60000000000002274</v>
      </c>
      <c r="G39" s="40">
        <v>0.19999999999998863</v>
      </c>
      <c r="H39" s="40">
        <v>0.75</v>
      </c>
    </row>
    <row r="40" spans="1:8" ht="15" thickBot="1" x14ac:dyDescent="0.35">
      <c r="B40" s="38" t="s">
        <v>98</v>
      </c>
      <c r="C40" s="38" t="s">
        <v>257</v>
      </c>
      <c r="D40" s="38">
        <v>0</v>
      </c>
      <c r="E40" s="38">
        <v>1.0999999999999659</v>
      </c>
      <c r="F40" s="38">
        <v>0.89999999999997726</v>
      </c>
      <c r="G40" s="38">
        <v>1E+30</v>
      </c>
      <c r="H40" s="38">
        <v>1.0999999999999659</v>
      </c>
    </row>
    <row r="42" spans="1:8" ht="15" thickBot="1" x14ac:dyDescent="0.35">
      <c r="A42" t="s">
        <v>99</v>
      </c>
    </row>
    <row r="43" spans="1:8" x14ac:dyDescent="0.3">
      <c r="B43" s="41"/>
      <c r="C43" s="41"/>
      <c r="D43" s="41" t="s">
        <v>131</v>
      </c>
      <c r="E43" s="41" t="s">
        <v>140</v>
      </c>
      <c r="F43" s="41" t="s">
        <v>141</v>
      </c>
      <c r="G43" s="41" t="s">
        <v>134</v>
      </c>
      <c r="H43" s="41" t="s">
        <v>134</v>
      </c>
    </row>
    <row r="44" spans="1:8" ht="15" thickBot="1" x14ac:dyDescent="0.35">
      <c r="B44" s="42" t="s">
        <v>59</v>
      </c>
      <c r="C44" s="42" t="s">
        <v>60</v>
      </c>
      <c r="D44" s="42" t="s">
        <v>135</v>
      </c>
      <c r="E44" s="42" t="s">
        <v>142</v>
      </c>
      <c r="F44" s="42" t="s">
        <v>143</v>
      </c>
      <c r="G44" s="42" t="s">
        <v>138</v>
      </c>
      <c r="H44" s="42" t="s">
        <v>139</v>
      </c>
    </row>
    <row r="45" spans="1:8" x14ac:dyDescent="0.3">
      <c r="B45" s="40" t="s">
        <v>258</v>
      </c>
      <c r="C45" s="40" t="s">
        <v>104</v>
      </c>
      <c r="D45" s="40">
        <v>0</v>
      </c>
      <c r="E45" s="40">
        <v>0</v>
      </c>
      <c r="F45" s="40">
        <v>37500</v>
      </c>
      <c r="G45" s="40">
        <v>1E+30</v>
      </c>
      <c r="H45" s="40">
        <v>37500</v>
      </c>
    </row>
    <row r="46" spans="1:8" x14ac:dyDescent="0.3">
      <c r="B46" s="40" t="s">
        <v>260</v>
      </c>
      <c r="C46" s="40" t="s">
        <v>106</v>
      </c>
      <c r="D46" s="40">
        <v>0</v>
      </c>
      <c r="E46" s="40">
        <v>0</v>
      </c>
      <c r="F46" s="40">
        <v>10050</v>
      </c>
      <c r="G46" s="40">
        <v>1E+30</v>
      </c>
      <c r="H46" s="40">
        <v>10050</v>
      </c>
    </row>
    <row r="47" spans="1:8" x14ac:dyDescent="0.3">
      <c r="B47" s="40" t="s">
        <v>262</v>
      </c>
      <c r="C47" s="40" t="s">
        <v>107</v>
      </c>
      <c r="D47" s="40">
        <v>245000</v>
      </c>
      <c r="E47" s="40">
        <v>48.850000000000023</v>
      </c>
      <c r="F47" s="40">
        <v>245000</v>
      </c>
      <c r="G47" s="40">
        <v>2644</v>
      </c>
      <c r="H47" s="40">
        <v>10743</v>
      </c>
    </row>
    <row r="48" spans="1:8" x14ac:dyDescent="0.3">
      <c r="B48" s="40" t="s">
        <v>264</v>
      </c>
      <c r="C48" s="40" t="s">
        <v>109</v>
      </c>
      <c r="D48" s="40">
        <v>30000</v>
      </c>
      <c r="E48" s="40">
        <v>49.350000000000023</v>
      </c>
      <c r="F48" s="40">
        <v>30000</v>
      </c>
      <c r="G48" s="40">
        <v>2644</v>
      </c>
      <c r="H48" s="40">
        <v>10743</v>
      </c>
    </row>
    <row r="49" spans="2:8" x14ac:dyDescent="0.3">
      <c r="B49" s="40" t="s">
        <v>266</v>
      </c>
      <c r="C49" s="40" t="s">
        <v>110</v>
      </c>
      <c r="D49" s="40">
        <v>58387</v>
      </c>
      <c r="E49" s="40">
        <v>49.550000000000011</v>
      </c>
      <c r="F49" s="40">
        <v>58387</v>
      </c>
      <c r="G49" s="40">
        <v>4257</v>
      </c>
      <c r="H49" s="40">
        <v>10743</v>
      </c>
    </row>
    <row r="50" spans="2:8" x14ac:dyDescent="0.3">
      <c r="B50" s="40" t="s">
        <v>268</v>
      </c>
      <c r="C50" s="40" t="s">
        <v>111</v>
      </c>
      <c r="D50" s="40">
        <v>58656</v>
      </c>
      <c r="E50" s="40">
        <v>49.300000000000011</v>
      </c>
      <c r="F50" s="40">
        <v>58656</v>
      </c>
      <c r="G50" s="40">
        <v>2644</v>
      </c>
      <c r="H50" s="40">
        <v>10743</v>
      </c>
    </row>
    <row r="51" spans="2:8" x14ac:dyDescent="0.3">
      <c r="B51" s="40" t="s">
        <v>270</v>
      </c>
      <c r="C51" s="40" t="s">
        <v>112</v>
      </c>
      <c r="D51" s="40">
        <v>25000</v>
      </c>
      <c r="E51" s="40">
        <v>49.850000000000023</v>
      </c>
      <c r="F51" s="40">
        <v>25000</v>
      </c>
      <c r="G51" s="40">
        <v>2644</v>
      </c>
      <c r="H51" s="40">
        <v>10743</v>
      </c>
    </row>
    <row r="52" spans="2:8" x14ac:dyDescent="0.3">
      <c r="B52" s="40" t="s">
        <v>272</v>
      </c>
      <c r="C52" s="40" t="s">
        <v>113</v>
      </c>
      <c r="D52" s="40">
        <v>38700</v>
      </c>
      <c r="E52" s="40">
        <v>49.050000000000011</v>
      </c>
      <c r="F52" s="40">
        <v>38700</v>
      </c>
      <c r="G52" s="40">
        <v>2644</v>
      </c>
      <c r="H52" s="40">
        <v>10743</v>
      </c>
    </row>
    <row r="53" spans="2:8" x14ac:dyDescent="0.3">
      <c r="B53" s="40" t="s">
        <v>274</v>
      </c>
      <c r="C53" s="40" t="s">
        <v>114</v>
      </c>
      <c r="D53" s="40">
        <v>60743</v>
      </c>
      <c r="E53" s="40">
        <v>0</v>
      </c>
      <c r="F53" s="40">
        <v>5000</v>
      </c>
      <c r="G53" s="40">
        <v>55743</v>
      </c>
      <c r="H53" s="40">
        <v>1E+30</v>
      </c>
    </row>
    <row r="54" spans="2:8" x14ac:dyDescent="0.3">
      <c r="B54" s="40" t="s">
        <v>276</v>
      </c>
      <c r="C54" s="40" t="s">
        <v>115</v>
      </c>
      <c r="D54" s="40">
        <v>5000</v>
      </c>
      <c r="E54" s="40">
        <v>0.14999999999997726</v>
      </c>
      <c r="F54" s="40">
        <v>5000</v>
      </c>
      <c r="G54" s="40">
        <v>20000</v>
      </c>
      <c r="H54" s="40">
        <v>2644</v>
      </c>
    </row>
    <row r="55" spans="2:8" x14ac:dyDescent="0.3">
      <c r="B55" s="40" t="s">
        <v>278</v>
      </c>
      <c r="C55" s="40" t="s">
        <v>116</v>
      </c>
      <c r="D55" s="40">
        <v>0</v>
      </c>
      <c r="E55" s="40">
        <v>0.55000000000001137</v>
      </c>
      <c r="F55" s="40">
        <v>0</v>
      </c>
      <c r="G55" s="40">
        <v>0</v>
      </c>
      <c r="H55" s="40">
        <v>2644</v>
      </c>
    </row>
    <row r="56" spans="2:8" x14ac:dyDescent="0.3">
      <c r="B56" s="40" t="s">
        <v>280</v>
      </c>
      <c r="C56" s="40" t="s">
        <v>117</v>
      </c>
      <c r="D56" s="40">
        <v>260000</v>
      </c>
      <c r="E56" s="40">
        <v>0</v>
      </c>
      <c r="F56" s="40">
        <v>175000</v>
      </c>
      <c r="G56" s="40">
        <v>85000</v>
      </c>
      <c r="H56" s="40">
        <v>1E+30</v>
      </c>
    </row>
    <row r="57" spans="2:8" x14ac:dyDescent="0.3">
      <c r="B57" s="40" t="s">
        <v>282</v>
      </c>
      <c r="C57" s="40" t="s">
        <v>118</v>
      </c>
      <c r="D57" s="40">
        <v>10000</v>
      </c>
      <c r="E57" s="40">
        <v>0.75</v>
      </c>
      <c r="F57" s="40">
        <v>10000</v>
      </c>
      <c r="G57" s="40">
        <v>10743</v>
      </c>
      <c r="H57" s="40">
        <v>0</v>
      </c>
    </row>
    <row r="58" spans="2:8" x14ac:dyDescent="0.3">
      <c r="B58" s="40" t="s">
        <v>284</v>
      </c>
      <c r="C58" s="40" t="s">
        <v>119</v>
      </c>
      <c r="D58" s="40">
        <v>10000</v>
      </c>
      <c r="E58" s="40">
        <v>0.80000000000001137</v>
      </c>
      <c r="F58" s="40">
        <v>10000</v>
      </c>
      <c r="G58" s="40">
        <v>0</v>
      </c>
      <c r="H58" s="40">
        <v>10000</v>
      </c>
    </row>
    <row r="59" spans="2:8" x14ac:dyDescent="0.3">
      <c r="B59" s="40" t="s">
        <v>286</v>
      </c>
      <c r="C59" s="40" t="s">
        <v>120</v>
      </c>
      <c r="D59" s="40">
        <v>0</v>
      </c>
      <c r="E59" s="40">
        <v>-48.75</v>
      </c>
      <c r="F59" s="40">
        <v>0</v>
      </c>
      <c r="G59" s="40">
        <v>10743</v>
      </c>
      <c r="H59" s="40">
        <v>2644</v>
      </c>
    </row>
    <row r="60" spans="2:8" x14ac:dyDescent="0.3">
      <c r="B60" s="40" t="s">
        <v>288</v>
      </c>
      <c r="C60" s="40" t="s">
        <v>121</v>
      </c>
      <c r="D60" s="40">
        <v>0</v>
      </c>
      <c r="E60" s="40">
        <v>-49.5</v>
      </c>
      <c r="F60" s="40">
        <v>0</v>
      </c>
      <c r="G60" s="40">
        <v>10743</v>
      </c>
      <c r="H60" s="40">
        <v>4257</v>
      </c>
    </row>
    <row r="61" spans="2:8" x14ac:dyDescent="0.3">
      <c r="B61" s="40" t="s">
        <v>290</v>
      </c>
      <c r="C61" s="40" t="s">
        <v>122</v>
      </c>
      <c r="D61" s="40">
        <v>0</v>
      </c>
      <c r="E61" s="40">
        <v>-48.850000000000023</v>
      </c>
      <c r="F61" s="40">
        <v>0</v>
      </c>
      <c r="G61" s="40">
        <v>10743</v>
      </c>
      <c r="H61" s="40">
        <v>2644</v>
      </c>
    </row>
    <row r="62" spans="2:8" x14ac:dyDescent="0.3">
      <c r="B62" s="40" t="s">
        <v>292</v>
      </c>
      <c r="C62" s="40" t="s">
        <v>123</v>
      </c>
      <c r="D62" s="40">
        <v>0</v>
      </c>
      <c r="E62" s="40">
        <v>-49.25</v>
      </c>
      <c r="F62" s="40">
        <v>0</v>
      </c>
      <c r="G62" s="40">
        <v>10743</v>
      </c>
      <c r="H62" s="40">
        <v>0</v>
      </c>
    </row>
    <row r="63" spans="2:8" x14ac:dyDescent="0.3">
      <c r="B63" s="40" t="s">
        <v>294</v>
      </c>
      <c r="C63" s="40" t="s">
        <v>124</v>
      </c>
      <c r="D63" s="40">
        <v>200000</v>
      </c>
      <c r="E63" s="40">
        <v>-6.25</v>
      </c>
      <c r="F63" s="40">
        <v>200000</v>
      </c>
      <c r="G63" s="40">
        <v>10743</v>
      </c>
      <c r="H63" s="40">
        <v>2644</v>
      </c>
    </row>
    <row r="64" spans="2:8" x14ac:dyDescent="0.3">
      <c r="B64" s="40" t="s">
        <v>296</v>
      </c>
      <c r="C64" s="40" t="s">
        <v>125</v>
      </c>
      <c r="D64" s="40">
        <v>50000</v>
      </c>
      <c r="E64" s="40">
        <v>-4.5</v>
      </c>
      <c r="F64" s="40">
        <v>50000</v>
      </c>
      <c r="G64" s="40">
        <v>10743</v>
      </c>
      <c r="H64" s="40">
        <v>4257</v>
      </c>
    </row>
    <row r="65" spans="2:8" x14ac:dyDescent="0.3">
      <c r="B65" s="40" t="s">
        <v>298</v>
      </c>
      <c r="C65" s="40" t="s">
        <v>126</v>
      </c>
      <c r="D65" s="40">
        <v>125000</v>
      </c>
      <c r="E65" s="40">
        <v>-1.3500000000000227</v>
      </c>
      <c r="F65" s="40">
        <v>125000</v>
      </c>
      <c r="G65" s="40">
        <v>10743</v>
      </c>
      <c r="H65" s="40">
        <v>2644</v>
      </c>
    </row>
    <row r="66" spans="2:8" x14ac:dyDescent="0.3">
      <c r="B66" s="40" t="s">
        <v>300</v>
      </c>
      <c r="C66" s="40" t="s">
        <v>127</v>
      </c>
      <c r="D66" s="40">
        <v>10000</v>
      </c>
      <c r="E66" s="40">
        <v>0</v>
      </c>
      <c r="F66" s="40">
        <v>33500</v>
      </c>
      <c r="G66" s="40">
        <v>1E+30</v>
      </c>
      <c r="H66" s="40">
        <v>23500</v>
      </c>
    </row>
    <row r="67" spans="2:8" x14ac:dyDescent="0.3">
      <c r="B67" s="40" t="s">
        <v>302</v>
      </c>
      <c r="C67" s="40" t="s">
        <v>128</v>
      </c>
      <c r="D67" s="40">
        <v>60000</v>
      </c>
      <c r="E67" s="40">
        <v>-2</v>
      </c>
      <c r="F67" s="40">
        <v>60000</v>
      </c>
      <c r="G67" s="40">
        <v>10743</v>
      </c>
      <c r="H67" s="40">
        <v>2644</v>
      </c>
    </row>
    <row r="68" spans="2:8" ht="15" thickBot="1" x14ac:dyDescent="0.35">
      <c r="B68" s="38" t="s">
        <v>304</v>
      </c>
      <c r="C68" s="38" t="s">
        <v>129</v>
      </c>
      <c r="D68" s="38">
        <v>10743</v>
      </c>
      <c r="E68" s="38">
        <v>0</v>
      </c>
      <c r="F68" s="38">
        <v>15000</v>
      </c>
      <c r="G68" s="38">
        <v>1E+30</v>
      </c>
      <c r="H68" s="38">
        <v>4257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7BAD-1F7C-4459-A8B3-86EA4380A5D9}">
  <dimension ref="A1:J44"/>
  <sheetViews>
    <sheetView showGridLines="0" topLeftCell="A7" workbookViewId="0">
      <selection sqref="A1:A3"/>
    </sheetView>
  </sheetViews>
  <sheetFormatPr defaultRowHeight="14.4" x14ac:dyDescent="0.3"/>
  <cols>
    <col min="1" max="1" width="2.33203125" customWidth="1"/>
    <col min="2" max="2" width="6.33203125" bestFit="1" customWidth="1"/>
    <col min="3" max="3" width="7.77734375" bestFit="1" customWidth="1"/>
    <col min="4" max="4" width="11" bestFit="1" customWidth="1"/>
    <col min="5" max="5" width="2.33203125" customWidth="1"/>
    <col min="6" max="6" width="7" bestFit="1" customWidth="1"/>
    <col min="7" max="7" width="9.33203125" bestFit="1" customWidth="1"/>
    <col min="8" max="8" width="2.33203125" customWidth="1"/>
    <col min="9" max="9" width="8.109375" bestFit="1" customWidth="1"/>
    <col min="10" max="10" width="9.33203125" bestFit="1" customWidth="1"/>
  </cols>
  <sheetData>
    <row r="1" spans="1:10" x14ac:dyDescent="0.3">
      <c r="A1" s="12" t="s">
        <v>144</v>
      </c>
    </row>
    <row r="2" spans="1:10" x14ac:dyDescent="0.3">
      <c r="A2" s="12" t="s">
        <v>222</v>
      </c>
    </row>
    <row r="3" spans="1:10" x14ac:dyDescent="0.3">
      <c r="A3" s="12" t="s">
        <v>306</v>
      </c>
    </row>
    <row r="5" spans="1:10" ht="15" thickBot="1" x14ac:dyDescent="0.35"/>
    <row r="6" spans="1:10" x14ac:dyDescent="0.3">
      <c r="B6" s="41"/>
      <c r="C6" s="41" t="s">
        <v>133</v>
      </c>
      <c r="D6" s="41"/>
    </row>
    <row r="7" spans="1:10" ht="15" thickBot="1" x14ac:dyDescent="0.35">
      <c r="B7" s="42" t="s">
        <v>59</v>
      </c>
      <c r="C7" s="42" t="s">
        <v>60</v>
      </c>
      <c r="D7" s="42" t="s">
        <v>135</v>
      </c>
    </row>
    <row r="8" spans="1:10" ht="15" thickBot="1" x14ac:dyDescent="0.35">
      <c r="B8" s="38" t="s">
        <v>225</v>
      </c>
      <c r="C8" s="38" t="s">
        <v>63</v>
      </c>
      <c r="D8" s="38">
        <v>20630551.649999999</v>
      </c>
    </row>
    <row r="10" spans="1:10" ht="15" thickBot="1" x14ac:dyDescent="0.35"/>
    <row r="11" spans="1:10" x14ac:dyDescent="0.3">
      <c r="B11" s="41"/>
      <c r="C11" s="41" t="s">
        <v>37</v>
      </c>
      <c r="D11" s="41"/>
      <c r="F11" s="41" t="s">
        <v>145</v>
      </c>
      <c r="G11" s="41" t="s">
        <v>133</v>
      </c>
      <c r="I11" s="41" t="s">
        <v>146</v>
      </c>
      <c r="J11" s="41" t="s">
        <v>133</v>
      </c>
    </row>
    <row r="12" spans="1:10" ht="15" thickBot="1" x14ac:dyDescent="0.35">
      <c r="B12" s="42" t="s">
        <v>59</v>
      </c>
      <c r="C12" s="42" t="s">
        <v>60</v>
      </c>
      <c r="D12" s="42" t="s">
        <v>135</v>
      </c>
      <c r="F12" s="42" t="s">
        <v>147</v>
      </c>
      <c r="G12" s="42" t="s">
        <v>148</v>
      </c>
      <c r="I12" s="42" t="s">
        <v>147</v>
      </c>
      <c r="J12" s="42" t="s">
        <v>148</v>
      </c>
    </row>
    <row r="13" spans="1:10" x14ac:dyDescent="0.3">
      <c r="B13" s="40" t="s">
        <v>66</v>
      </c>
      <c r="C13" s="40" t="s">
        <v>226</v>
      </c>
      <c r="D13" s="40">
        <v>200000</v>
      </c>
      <c r="F13" s="40">
        <v>200000</v>
      </c>
      <c r="G13" s="40">
        <v>20630551.649999999</v>
      </c>
      <c r="I13" s="40">
        <v>200000</v>
      </c>
      <c r="J13" s="40">
        <v>20630551.649999999</v>
      </c>
    </row>
    <row r="14" spans="1:10" x14ac:dyDescent="0.3">
      <c r="B14" s="40" t="s">
        <v>68</v>
      </c>
      <c r="C14" s="40" t="s">
        <v>227</v>
      </c>
      <c r="D14" s="40">
        <v>50000</v>
      </c>
      <c r="F14" s="40">
        <v>50000</v>
      </c>
      <c r="G14" s="40">
        <v>20630551.649999999</v>
      </c>
      <c r="I14" s="40">
        <v>50000</v>
      </c>
      <c r="J14" s="40">
        <v>20630551.649999999</v>
      </c>
    </row>
    <row r="15" spans="1:10" x14ac:dyDescent="0.3">
      <c r="B15" s="40" t="s">
        <v>69</v>
      </c>
      <c r="C15" s="40" t="s">
        <v>228</v>
      </c>
      <c r="D15" s="40">
        <v>125000</v>
      </c>
      <c r="F15" s="40">
        <v>125000</v>
      </c>
      <c r="G15" s="40">
        <v>20630551.649999999</v>
      </c>
      <c r="I15" s="40">
        <v>125000</v>
      </c>
      <c r="J15" s="40">
        <v>20630551.649999999</v>
      </c>
    </row>
    <row r="16" spans="1:10" x14ac:dyDescent="0.3">
      <c r="B16" s="40" t="s">
        <v>70</v>
      </c>
      <c r="C16" s="40" t="s">
        <v>229</v>
      </c>
      <c r="D16" s="40">
        <v>10000</v>
      </c>
      <c r="F16" s="40">
        <v>10000</v>
      </c>
      <c r="G16" s="40">
        <v>20630551.649999999</v>
      </c>
      <c r="I16" s="40">
        <v>10000</v>
      </c>
      <c r="J16" s="40">
        <v>20630551.649999999</v>
      </c>
    </row>
    <row r="17" spans="2:10" x14ac:dyDescent="0.3">
      <c r="B17" s="40" t="s">
        <v>71</v>
      </c>
      <c r="C17" s="40" t="s">
        <v>230</v>
      </c>
      <c r="D17" s="40">
        <v>60000</v>
      </c>
      <c r="F17" s="40">
        <v>60000</v>
      </c>
      <c r="G17" s="40">
        <v>20630551.649999999</v>
      </c>
      <c r="I17" s="40">
        <v>60000</v>
      </c>
      <c r="J17" s="40">
        <v>20630551.649999999</v>
      </c>
    </row>
    <row r="18" spans="2:10" x14ac:dyDescent="0.3">
      <c r="B18" s="40" t="s">
        <v>72</v>
      </c>
      <c r="C18" s="40" t="s">
        <v>231</v>
      </c>
      <c r="D18" s="40">
        <v>10743</v>
      </c>
      <c r="F18" s="40">
        <v>10743</v>
      </c>
      <c r="G18" s="40">
        <v>20630551.649999999</v>
      </c>
      <c r="I18" s="40">
        <v>10743</v>
      </c>
      <c r="J18" s="40">
        <v>20630551.649999999</v>
      </c>
    </row>
    <row r="19" spans="2:10" x14ac:dyDescent="0.3">
      <c r="B19" s="40" t="s">
        <v>73</v>
      </c>
      <c r="C19" s="40" t="s">
        <v>232</v>
      </c>
      <c r="D19" s="40">
        <v>0</v>
      </c>
      <c r="F19" s="40">
        <v>0</v>
      </c>
      <c r="G19" s="40">
        <v>20630551.649999999</v>
      </c>
      <c r="I19" s="40">
        <v>0</v>
      </c>
      <c r="J19" s="40">
        <v>20630551.649999999</v>
      </c>
    </row>
    <row r="20" spans="2:10" x14ac:dyDescent="0.3">
      <c r="B20" s="40" t="s">
        <v>74</v>
      </c>
      <c r="C20" s="40" t="s">
        <v>233</v>
      </c>
      <c r="D20" s="40">
        <v>0</v>
      </c>
      <c r="F20" s="40">
        <v>0</v>
      </c>
      <c r="G20" s="40">
        <v>20630551.649999999</v>
      </c>
      <c r="I20" s="40">
        <v>0</v>
      </c>
      <c r="J20" s="40">
        <v>20630551.649999999</v>
      </c>
    </row>
    <row r="21" spans="2:10" x14ac:dyDescent="0.3">
      <c r="B21" s="40" t="s">
        <v>75</v>
      </c>
      <c r="C21" s="40" t="s">
        <v>234</v>
      </c>
      <c r="D21" s="40">
        <v>245000</v>
      </c>
      <c r="F21" s="40">
        <v>245000</v>
      </c>
      <c r="G21" s="40">
        <v>20630551.649999999</v>
      </c>
      <c r="I21" s="40">
        <v>245000</v>
      </c>
      <c r="J21" s="40">
        <v>20630551.649999999</v>
      </c>
    </row>
    <row r="22" spans="2:10" x14ac:dyDescent="0.3">
      <c r="B22" s="40" t="s">
        <v>76</v>
      </c>
      <c r="C22" s="40" t="s">
        <v>235</v>
      </c>
      <c r="D22" s="40">
        <v>15000</v>
      </c>
      <c r="F22" s="40">
        <v>15000</v>
      </c>
      <c r="G22" s="40">
        <v>20630551.649999999</v>
      </c>
      <c r="I22" s="40">
        <v>15000</v>
      </c>
      <c r="J22" s="40">
        <v>20630551.649999999</v>
      </c>
    </row>
    <row r="23" spans="2:10" x14ac:dyDescent="0.3">
      <c r="B23" s="40" t="s">
        <v>77</v>
      </c>
      <c r="C23" s="40" t="s">
        <v>236</v>
      </c>
      <c r="D23" s="40">
        <v>0</v>
      </c>
      <c r="F23" s="40">
        <v>0</v>
      </c>
      <c r="G23" s="40">
        <v>20630551.649999999</v>
      </c>
      <c r="I23" s="40">
        <v>0</v>
      </c>
      <c r="J23" s="40">
        <v>20630551.649999999</v>
      </c>
    </row>
    <row r="24" spans="2:10" x14ac:dyDescent="0.3">
      <c r="B24" s="40" t="s">
        <v>78</v>
      </c>
      <c r="C24" s="40" t="s">
        <v>237</v>
      </c>
      <c r="D24" s="40">
        <v>0</v>
      </c>
      <c r="F24" s="40">
        <v>0</v>
      </c>
      <c r="G24" s="40">
        <v>20630551.649999999</v>
      </c>
      <c r="I24" s="40">
        <v>0</v>
      </c>
      <c r="J24" s="40">
        <v>20630551.649999999</v>
      </c>
    </row>
    <row r="25" spans="2:10" x14ac:dyDescent="0.3">
      <c r="B25" s="40" t="s">
        <v>79</v>
      </c>
      <c r="C25" s="40" t="s">
        <v>238</v>
      </c>
      <c r="D25" s="40">
        <v>0</v>
      </c>
      <c r="F25" s="40">
        <v>0</v>
      </c>
      <c r="G25" s="40">
        <v>20630551.649999999</v>
      </c>
      <c r="I25" s="40">
        <v>0</v>
      </c>
      <c r="J25" s="40">
        <v>20630551.649999999</v>
      </c>
    </row>
    <row r="26" spans="2:10" x14ac:dyDescent="0.3">
      <c r="B26" s="40" t="s">
        <v>80</v>
      </c>
      <c r="C26" s="40" t="s">
        <v>239</v>
      </c>
      <c r="D26" s="40">
        <v>0</v>
      </c>
      <c r="F26" s="40">
        <v>0</v>
      </c>
      <c r="G26" s="40">
        <v>20630551.649999999</v>
      </c>
      <c r="I26" s="40">
        <v>0</v>
      </c>
      <c r="J26" s="40">
        <v>20630551.649999999</v>
      </c>
    </row>
    <row r="27" spans="2:10" x14ac:dyDescent="0.3">
      <c r="B27" s="40" t="s">
        <v>81</v>
      </c>
      <c r="C27" s="40" t="s">
        <v>240</v>
      </c>
      <c r="D27" s="40">
        <v>0</v>
      </c>
      <c r="F27" s="40">
        <v>0</v>
      </c>
      <c r="G27" s="40">
        <v>20630551.649999999</v>
      </c>
      <c r="I27" s="40">
        <v>0</v>
      </c>
      <c r="J27" s="40">
        <v>20630551.649999999</v>
      </c>
    </row>
    <row r="28" spans="2:10" x14ac:dyDescent="0.3">
      <c r="B28" s="40" t="s">
        <v>82</v>
      </c>
      <c r="C28" s="40" t="s">
        <v>241</v>
      </c>
      <c r="D28" s="40">
        <v>0</v>
      </c>
      <c r="F28" s="40">
        <v>0</v>
      </c>
      <c r="G28" s="40">
        <v>20630551.649999999</v>
      </c>
      <c r="I28" s="40">
        <v>0</v>
      </c>
      <c r="J28" s="40">
        <v>20630551.649999999</v>
      </c>
    </row>
    <row r="29" spans="2:10" x14ac:dyDescent="0.3">
      <c r="B29" s="40" t="s">
        <v>83</v>
      </c>
      <c r="C29" s="40" t="s">
        <v>242</v>
      </c>
      <c r="D29" s="40">
        <v>55743</v>
      </c>
      <c r="F29" s="40">
        <v>55743</v>
      </c>
      <c r="G29" s="40">
        <v>20630551.649999999</v>
      </c>
      <c r="I29" s="40">
        <v>55743</v>
      </c>
      <c r="J29" s="40">
        <v>20630551.649999999</v>
      </c>
    </row>
    <row r="30" spans="2:10" x14ac:dyDescent="0.3">
      <c r="B30" s="40" t="s">
        <v>84</v>
      </c>
      <c r="C30" s="40" t="s">
        <v>243</v>
      </c>
      <c r="D30" s="40">
        <v>0</v>
      </c>
      <c r="F30" s="40">
        <v>0</v>
      </c>
      <c r="G30" s="40">
        <v>20630551.649999999</v>
      </c>
      <c r="I30" s="40">
        <v>0</v>
      </c>
      <c r="J30" s="40">
        <v>20630551.649999999</v>
      </c>
    </row>
    <row r="31" spans="2:10" x14ac:dyDescent="0.3">
      <c r="B31" s="40" t="s">
        <v>85</v>
      </c>
      <c r="C31" s="40" t="s">
        <v>244</v>
      </c>
      <c r="D31" s="40">
        <v>5000</v>
      </c>
      <c r="F31" s="40">
        <v>5000</v>
      </c>
      <c r="G31" s="40">
        <v>20630551.649999999</v>
      </c>
      <c r="I31" s="40">
        <v>5000</v>
      </c>
      <c r="J31" s="40">
        <v>20630551.649999999</v>
      </c>
    </row>
    <row r="32" spans="2:10" x14ac:dyDescent="0.3">
      <c r="B32" s="40" t="s">
        <v>86</v>
      </c>
      <c r="C32" s="40" t="s">
        <v>245</v>
      </c>
      <c r="D32" s="40">
        <v>0</v>
      </c>
      <c r="F32" s="40">
        <v>0</v>
      </c>
      <c r="G32" s="40">
        <v>20630551.649999999</v>
      </c>
      <c r="I32" s="40">
        <v>0</v>
      </c>
      <c r="J32" s="40">
        <v>20630551.649999999</v>
      </c>
    </row>
    <row r="33" spans="2:10" x14ac:dyDescent="0.3">
      <c r="B33" s="40" t="s">
        <v>87</v>
      </c>
      <c r="C33" s="40" t="s">
        <v>246</v>
      </c>
      <c r="D33" s="40">
        <v>0</v>
      </c>
      <c r="F33" s="40">
        <v>0</v>
      </c>
      <c r="G33" s="40">
        <v>20630551.649999999</v>
      </c>
      <c r="I33" s="40">
        <v>0</v>
      </c>
      <c r="J33" s="40">
        <v>20630551.649999999</v>
      </c>
    </row>
    <row r="34" spans="2:10" x14ac:dyDescent="0.3">
      <c r="B34" s="40" t="s">
        <v>88</v>
      </c>
      <c r="C34" s="40" t="s">
        <v>247</v>
      </c>
      <c r="D34" s="40">
        <v>15000</v>
      </c>
      <c r="F34" s="40">
        <v>15000</v>
      </c>
      <c r="G34" s="40">
        <v>20630551.649999999</v>
      </c>
      <c r="I34" s="40">
        <v>15000</v>
      </c>
      <c r="J34" s="40">
        <v>20630551.649999999</v>
      </c>
    </row>
    <row r="35" spans="2:10" x14ac:dyDescent="0.3">
      <c r="B35" s="40" t="s">
        <v>89</v>
      </c>
      <c r="C35" s="40" t="s">
        <v>248</v>
      </c>
      <c r="D35" s="40">
        <v>2644</v>
      </c>
      <c r="F35" s="40">
        <v>2644</v>
      </c>
      <c r="G35" s="40">
        <v>20630551.649999999</v>
      </c>
      <c r="I35" s="40">
        <v>2644</v>
      </c>
      <c r="J35" s="40">
        <v>20630551.649999999</v>
      </c>
    </row>
    <row r="36" spans="2:10" x14ac:dyDescent="0.3">
      <c r="B36" s="40" t="s">
        <v>90</v>
      </c>
      <c r="C36" s="40" t="s">
        <v>249</v>
      </c>
      <c r="D36" s="40">
        <v>48656</v>
      </c>
      <c r="F36" s="40">
        <v>48656</v>
      </c>
      <c r="G36" s="40">
        <v>20630551.649999999</v>
      </c>
      <c r="I36" s="40">
        <v>48656</v>
      </c>
      <c r="J36" s="40">
        <v>20630551.649999999</v>
      </c>
    </row>
    <row r="37" spans="2:10" x14ac:dyDescent="0.3">
      <c r="B37" s="40" t="s">
        <v>91</v>
      </c>
      <c r="C37" s="40" t="s">
        <v>250</v>
      </c>
      <c r="D37" s="40">
        <v>20000</v>
      </c>
      <c r="F37" s="40">
        <v>20000</v>
      </c>
      <c r="G37" s="40">
        <v>20630551.649999999</v>
      </c>
      <c r="I37" s="40">
        <v>20000</v>
      </c>
      <c r="J37" s="40">
        <v>20630551.649999999</v>
      </c>
    </row>
    <row r="38" spans="2:10" x14ac:dyDescent="0.3">
      <c r="B38" s="40" t="s">
        <v>92</v>
      </c>
      <c r="C38" s="40" t="s">
        <v>251</v>
      </c>
      <c r="D38" s="40">
        <v>38700</v>
      </c>
      <c r="F38" s="40">
        <v>38700</v>
      </c>
      <c r="G38" s="40">
        <v>20630551.649999999</v>
      </c>
      <c r="I38" s="40">
        <v>38700</v>
      </c>
      <c r="J38" s="40">
        <v>20630551.649999999</v>
      </c>
    </row>
    <row r="39" spans="2:10" x14ac:dyDescent="0.3">
      <c r="B39" s="40" t="s">
        <v>93</v>
      </c>
      <c r="C39" s="40" t="s">
        <v>252</v>
      </c>
      <c r="D39" s="40">
        <v>0</v>
      </c>
      <c r="F39" s="40">
        <v>0</v>
      </c>
      <c r="G39" s="40">
        <v>20630551.649999999</v>
      </c>
      <c r="I39" s="40">
        <v>0</v>
      </c>
      <c r="J39" s="40">
        <v>20630551.649999999</v>
      </c>
    </row>
    <row r="40" spans="2:10" x14ac:dyDescent="0.3">
      <c r="B40" s="40" t="s">
        <v>94</v>
      </c>
      <c r="C40" s="40" t="s">
        <v>253</v>
      </c>
      <c r="D40" s="40">
        <v>0</v>
      </c>
      <c r="F40" s="40">
        <v>0</v>
      </c>
      <c r="G40" s="40">
        <v>20630551.649999999</v>
      </c>
      <c r="I40" s="40">
        <v>0</v>
      </c>
      <c r="J40" s="40">
        <v>20630551.649999999</v>
      </c>
    </row>
    <row r="41" spans="2:10" x14ac:dyDescent="0.3">
      <c r="B41" s="40" t="s">
        <v>95</v>
      </c>
      <c r="C41" s="40" t="s">
        <v>254</v>
      </c>
      <c r="D41" s="40">
        <v>0</v>
      </c>
      <c r="F41" s="40">
        <v>0</v>
      </c>
      <c r="G41" s="40">
        <v>20630551.649999999</v>
      </c>
      <c r="I41" s="40">
        <v>0</v>
      </c>
      <c r="J41" s="40">
        <v>20630551.649999999</v>
      </c>
    </row>
    <row r="42" spans="2:10" x14ac:dyDescent="0.3">
      <c r="B42" s="40" t="s">
        <v>96</v>
      </c>
      <c r="C42" s="40" t="s">
        <v>255</v>
      </c>
      <c r="D42" s="40">
        <v>10000</v>
      </c>
      <c r="F42" s="40">
        <v>10000</v>
      </c>
      <c r="G42" s="40">
        <v>20630551.649999999</v>
      </c>
      <c r="I42" s="40">
        <v>10000</v>
      </c>
      <c r="J42" s="40">
        <v>20630551.649999999</v>
      </c>
    </row>
    <row r="43" spans="2:10" x14ac:dyDescent="0.3">
      <c r="B43" s="40" t="s">
        <v>97</v>
      </c>
      <c r="C43" s="40" t="s">
        <v>256</v>
      </c>
      <c r="D43" s="40">
        <v>0</v>
      </c>
      <c r="F43" s="40">
        <v>0</v>
      </c>
      <c r="G43" s="40">
        <v>20630551.649999999</v>
      </c>
      <c r="I43" s="40">
        <v>0</v>
      </c>
      <c r="J43" s="40">
        <v>20630551.649999999</v>
      </c>
    </row>
    <row r="44" spans="2:10" ht="15" thickBot="1" x14ac:dyDescent="0.35">
      <c r="B44" s="38" t="s">
        <v>98</v>
      </c>
      <c r="C44" s="38" t="s">
        <v>257</v>
      </c>
      <c r="D44" s="38">
        <v>0</v>
      </c>
      <c r="F44" s="38">
        <v>0</v>
      </c>
      <c r="G44" s="38">
        <v>20630551.649999999</v>
      </c>
      <c r="I44" s="38">
        <v>0</v>
      </c>
      <c r="J44" s="38">
        <v>20630551.649999999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5e6e7d-eccc-4815-aded-f873fab10c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5EFDD7D6B3074F964B4BE549502D72" ma:contentTypeVersion="6" ma:contentTypeDescription="Criar um novo documento." ma:contentTypeScope="" ma:versionID="78c77d50904fddef1c8cb9b62f4c31b4">
  <xsd:schema xmlns:xsd="http://www.w3.org/2001/XMLSchema" xmlns:xs="http://www.w3.org/2001/XMLSchema" xmlns:p="http://schemas.microsoft.com/office/2006/metadata/properties" xmlns:ns3="e85e6e7d-eccc-4815-aded-f873fab10c11" targetNamespace="http://schemas.microsoft.com/office/2006/metadata/properties" ma:root="true" ma:fieldsID="2e8f2ab5bd6df7201ed87fca70d1e660" ns3:_="">
    <xsd:import namespace="e85e6e7d-eccc-4815-aded-f873fab10c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e6e7d-eccc-4815-aded-f873fab10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126DA9-5DF8-4647-AEAA-5F0C68305C23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85e6e7d-eccc-4815-aded-f873fab10c11"/>
  </ds:schemaRefs>
</ds:datastoreItem>
</file>

<file path=customXml/itemProps2.xml><?xml version="1.0" encoding="utf-8"?>
<ds:datastoreItem xmlns:ds="http://schemas.openxmlformats.org/officeDocument/2006/customXml" ds:itemID="{AC05BEA9-838C-45C2-94ED-496B07D55C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C304F7-F1F6-4D85-AEF8-357001397A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5e6e7d-eccc-4815-aded-f873fab10c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Dados</vt:lpstr>
      <vt:lpstr>Variáveis e Restrições</vt:lpstr>
      <vt:lpstr>Modelo</vt:lpstr>
      <vt:lpstr>Relatório de Resposta</vt:lpstr>
      <vt:lpstr>Relatório de Sensibilidade</vt:lpstr>
      <vt:lpstr>Relatório de Limites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Saraiva Grilo</dc:creator>
  <cp:keywords/>
  <dc:description/>
  <cp:lastModifiedBy>Miguel Saraiva Grilo</cp:lastModifiedBy>
  <cp:revision/>
  <dcterms:created xsi:type="dcterms:W3CDTF">2024-11-16T09:15:46Z</dcterms:created>
  <dcterms:modified xsi:type="dcterms:W3CDTF">2024-11-20T19:47:00Z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0x010100985EFDD7D6B3074F964B4BE549502D72</vt:lpwstr>
  </property>
</Properties>
</file>